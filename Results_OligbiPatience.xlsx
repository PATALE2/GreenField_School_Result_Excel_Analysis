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tables/table9.xml" ContentType="application/vnd.openxmlformats-officedocument.spreadsheetml.table+xml"/>
  <Override PartName="/xl/tables/table10.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11.xml" ContentType="application/vnd.openxmlformats-officedocument.spreadsheetml.table+xml"/>
  <Override PartName="/xl/drawings/drawing3.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294117695fee7a97/Desktop/"/>
    </mc:Choice>
  </mc:AlternateContent>
  <xr:revisionPtr revIDLastSave="2727" documentId="11_967D5CC6D56696CF605224F4405DCE3A0744F9D9" xr6:coauthVersionLast="47" xr6:coauthVersionMax="47" xr10:uidLastSave="{B950C26D-1D4E-4531-8229-50543D8ABD8B}"/>
  <bookViews>
    <workbookView xWindow="-110" yWindow="-110" windowWidth="19420" windowHeight="10300" firstSheet="1" activeTab="1" xr2:uid="{00000000-000D-0000-FFFF-FFFF00000000}"/>
  </bookViews>
  <sheets>
    <sheet name="Results" sheetId="1" r:id="rId1"/>
    <sheet name="Cleaned Data" sheetId="2" r:id="rId2"/>
    <sheet name="Class Summary " sheetId="3" r:id="rId3"/>
    <sheet name="Subjects" sheetId="4" r:id="rId4"/>
    <sheet name="Improvement" sheetId="5" r:id="rId5"/>
    <sheet name="Risk" sheetId="6" r:id="rId6"/>
    <sheet name="Summary" sheetId="7" r:id="rId7"/>
  </sheets>
  <definedNames>
    <definedName name="_xlnm._FilterDatabase" localSheetId="5" hidden="1">Risk!$A$1:$B$718</definedName>
    <definedName name="Slicer_Class">#N/A</definedName>
    <definedName name="Slicer_Term">#N/A</definedName>
  </definedNames>
  <calcPr calcId="191028"/>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5" l="1"/>
  <c r="K4" i="5"/>
  <c r="K5" i="5"/>
  <c r="K6" i="5"/>
  <c r="K7" i="5"/>
  <c r="K2" i="5"/>
  <c r="J3" i="5"/>
  <c r="J4" i="5"/>
  <c r="J5" i="5"/>
  <c r="J6" i="5"/>
  <c r="J7" i="5"/>
  <c r="J2" i="5"/>
  <c r="I3" i="5"/>
  <c r="I4" i="5"/>
  <c r="I5" i="5"/>
  <c r="I6" i="5"/>
  <c r="I7" i="5"/>
  <c r="I2" i="5"/>
  <c r="C2" i="5"/>
  <c r="E2" i="5" s="1"/>
  <c r="F2" i="5" s="1"/>
  <c r="M7" i="2"/>
  <c r="M2" i="2"/>
  <c r="M3" i="2"/>
  <c r="M4" i="2"/>
  <c r="M5" i="2"/>
  <c r="M6"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N235" i="2" a="1"/>
  <c r="M236" i="2"/>
  <c r="M237" i="2"/>
  <c r="M238" i="2"/>
  <c r="N238" i="2" a="1"/>
  <c r="M239" i="2"/>
  <c r="M240" i="2"/>
  <c r="M241" i="2"/>
  <c r="N241" i="2" a="1"/>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N298" i="2" a="1"/>
  <c r="M299" i="2"/>
  <c r="M300" i="2"/>
  <c r="M301" i="2"/>
  <c r="N301" i="2" a="1"/>
  <c r="M302" i="2"/>
  <c r="M303" i="2"/>
  <c r="N303" i="2" a="1"/>
  <c r="M304" i="2"/>
  <c r="M305" i="2"/>
  <c r="M306" i="2"/>
  <c r="M307" i="2"/>
  <c r="N307" i="2" a="1"/>
  <c r="M308" i="2"/>
  <c r="M309" i="2"/>
  <c r="N309" i="2" a="1"/>
  <c r="M310" i="2"/>
  <c r="M311" i="2"/>
  <c r="M312" i="2"/>
  <c r="N312" i="2" a="1"/>
  <c r="M313" i="2"/>
  <c r="M314" i="2"/>
  <c r="M315" i="2"/>
  <c r="M316" i="2"/>
  <c r="N316" i="2" a="1"/>
  <c r="M317" i="2"/>
  <c r="M318" i="2"/>
  <c r="N318" i="2" a="1"/>
  <c r="M319" i="2"/>
  <c r="M320" i="2"/>
  <c r="M321" i="2"/>
  <c r="M322" i="2"/>
  <c r="N322" i="2" a="1"/>
  <c r="M323" i="2"/>
  <c r="M324" i="2"/>
  <c r="N324" i="2" a="1"/>
  <c r="M325" i="2"/>
  <c r="M326" i="2"/>
  <c r="M327" i="2"/>
  <c r="M328" i="2"/>
  <c r="N328" i="2" a="1"/>
  <c r="M329" i="2"/>
  <c r="M330" i="2"/>
  <c r="M331" i="2"/>
  <c r="N331" i="2" a="1"/>
  <c r="M332" i="2"/>
  <c r="M333" i="2"/>
  <c r="M334" i="2"/>
  <c r="N334" i="2" a="1"/>
  <c r="M335" i="2"/>
  <c r="M336" i="2"/>
  <c r="M337" i="2"/>
  <c r="N337" i="2" a="1"/>
  <c r="M338" i="2"/>
  <c r="M339" i="2"/>
  <c r="M340" i="2"/>
  <c r="N340" i="2" a="1"/>
  <c r="M341" i="2"/>
  <c r="M342" i="2"/>
  <c r="N342" i="2" a="1"/>
  <c r="M343" i="2"/>
  <c r="M344" i="2"/>
  <c r="M345" i="2"/>
  <c r="M346" i="2"/>
  <c r="N346" i="2" a="1"/>
  <c r="M347" i="2"/>
  <c r="M348" i="2"/>
  <c r="C117" i="5"/>
  <c r="M349" i="2"/>
  <c r="N349" i="2" a="1"/>
  <c r="M350" i="2"/>
  <c r="M351" i="2"/>
  <c r="M352" i="2"/>
  <c r="N352" i="2" a="1"/>
  <c r="M353" i="2"/>
  <c r="M354" i="2"/>
  <c r="M355" i="2"/>
  <c r="N355" i="2" a="1"/>
  <c r="M356" i="2"/>
  <c r="M357" i="2"/>
  <c r="M358" i="2"/>
  <c r="N358" i="2" a="1"/>
  <c r="M359" i="2"/>
  <c r="M360" i="2"/>
  <c r="M361" i="2"/>
  <c r="N361" i="2" a="1"/>
  <c r="M362" i="2"/>
  <c r="M363" i="2"/>
  <c r="M364" i="2"/>
  <c r="D122" i="5"/>
  <c r="M365" i="2"/>
  <c r="M366" i="2"/>
  <c r="M367" i="2"/>
  <c r="M368" i="2"/>
  <c r="M369" i="2"/>
  <c r="M370" i="2"/>
  <c r="M371" i="2"/>
  <c r="M372" i="2"/>
  <c r="M373" i="2"/>
  <c r="M374" i="2"/>
  <c r="M375" i="2"/>
  <c r="M376" i="2"/>
  <c r="M377" i="2"/>
  <c r="M378" i="2"/>
  <c r="M379" i="2"/>
  <c r="M380" i="2"/>
  <c r="M381" i="2"/>
  <c r="M382" i="2"/>
  <c r="M383" i="2"/>
  <c r="M384" i="2"/>
  <c r="M385" i="2"/>
  <c r="D129" i="5"/>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D231" i="5"/>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N292" i="2" a="1"/>
  <c r="N294" i="2" a="1"/>
  <c r="C122" i="5"/>
  <c r="C123" i="5"/>
  <c r="D123" i="5"/>
  <c r="C124" i="5"/>
  <c r="D124" i="5"/>
  <c r="C125" i="5"/>
  <c r="D125" i="5"/>
  <c r="C126" i="5"/>
  <c r="N378" i="2" a="1"/>
  <c r="C128" i="5"/>
  <c r="N381" i="2" a="1"/>
  <c r="N384" i="2" a="1"/>
  <c r="N388" i="2" a="1"/>
  <c r="N390" i="2" a="1"/>
  <c r="N393" i="2" a="1"/>
  <c r="N706" i="2" a="1"/>
  <c r="N709" i="2" a="1"/>
  <c r="N712" i="2" a="1"/>
  <c r="N715" i="2" a="1"/>
  <c r="N717" i="2" a="1"/>
  <c r="N721" i="2" a="1"/>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 i="5"/>
  <c r="B7" i="4"/>
  <c r="B6" i="4"/>
  <c r="B5" i="4"/>
  <c r="B4" i="4"/>
  <c r="B3" i="4"/>
  <c r="B2" i="4"/>
  <c r="D7" i="4"/>
  <c r="E7" i="4"/>
  <c r="D6" i="4"/>
  <c r="E6" i="4"/>
  <c r="D5" i="4"/>
  <c r="E5" i="4"/>
  <c r="D4" i="4"/>
  <c r="E4" i="4"/>
  <c r="D3" i="4"/>
  <c r="E3" i="4"/>
  <c r="C7" i="4"/>
  <c r="C6" i="4"/>
  <c r="C5" i="4"/>
  <c r="C4" i="4"/>
  <c r="C3" i="4"/>
  <c r="D2" i="4"/>
  <c r="E2" i="4"/>
  <c r="C2" i="4"/>
  <c r="C3" i="3"/>
  <c r="C4" i="3"/>
  <c r="C5" i="3"/>
  <c r="C6" i="3"/>
  <c r="C7" i="3"/>
  <c r="C8" i="3"/>
  <c r="C9" i="3"/>
  <c r="C10" i="3"/>
  <c r="C11" i="3"/>
  <c r="C12" i="3"/>
  <c r="C13" i="3"/>
  <c r="C14" i="3"/>
  <c r="C15" i="3"/>
  <c r="C16" i="3"/>
  <c r="C17" i="3"/>
  <c r="C18" i="3"/>
  <c r="C19" i="3"/>
  <c r="C2" i="3"/>
  <c r="D132" i="5"/>
  <c r="D133" i="5"/>
  <c r="D134" i="5"/>
  <c r="D135" i="5"/>
  <c r="D136" i="5"/>
  <c r="C137" i="5"/>
  <c r="D137" i="5"/>
  <c r="C138" i="5"/>
  <c r="D138" i="5"/>
  <c r="C139" i="5"/>
  <c r="D139" i="5"/>
  <c r="C140" i="5"/>
  <c r="D140" i="5"/>
  <c r="C141" i="5"/>
  <c r="D141" i="5"/>
  <c r="C142" i="5"/>
  <c r="D142" i="5"/>
  <c r="C143" i="5"/>
  <c r="D143" i="5"/>
  <c r="C144" i="5"/>
  <c r="D144" i="5"/>
  <c r="C145" i="5"/>
  <c r="D145" i="5"/>
  <c r="C146" i="5"/>
  <c r="D146" i="5"/>
  <c r="C147" i="5"/>
  <c r="D147" i="5"/>
  <c r="C148" i="5"/>
  <c r="D148" i="5"/>
  <c r="C149" i="5"/>
  <c r="D149" i="5"/>
  <c r="C150" i="5"/>
  <c r="N450" i="2" a="1"/>
  <c r="N454" i="2" a="1"/>
  <c r="D152" i="5"/>
  <c r="C153" i="5"/>
  <c r="D153" i="5"/>
  <c r="C154" i="5"/>
  <c r="D154" i="5"/>
  <c r="C155" i="5"/>
  <c r="D155" i="5"/>
  <c r="C156" i="5"/>
  <c r="D156" i="5"/>
  <c r="C157" i="5"/>
  <c r="D157" i="5"/>
  <c r="C158" i="5"/>
  <c r="D158" i="5"/>
  <c r="C159" i="5"/>
  <c r="D159" i="5"/>
  <c r="C160" i="5"/>
  <c r="D160" i="5"/>
  <c r="C161" i="5"/>
  <c r="D161" i="5"/>
  <c r="C163" i="5"/>
  <c r="D163" i="5"/>
  <c r="C164" i="5"/>
  <c r="D164" i="5"/>
  <c r="C165" i="5"/>
  <c r="D165" i="5"/>
  <c r="C166" i="5"/>
  <c r="D166" i="5"/>
  <c r="C167" i="5"/>
  <c r="D167" i="5"/>
  <c r="C168" i="5"/>
  <c r="C169" i="5"/>
  <c r="C170" i="5"/>
  <c r="C171" i="5"/>
  <c r="C172" i="5"/>
  <c r="C173" i="5"/>
  <c r="D173" i="5"/>
  <c r="C174" i="5"/>
  <c r="D174" i="5"/>
  <c r="C175" i="5"/>
  <c r="D175" i="5"/>
  <c r="C176" i="5"/>
  <c r="D176" i="5"/>
  <c r="C177" i="5"/>
  <c r="D177" i="5"/>
  <c r="C178" i="5"/>
  <c r="C179" i="5"/>
  <c r="C180" i="5"/>
  <c r="C181" i="5"/>
  <c r="C182" i="5"/>
  <c r="D182" i="5"/>
  <c r="C183" i="5"/>
  <c r="D183" i="5"/>
  <c r="C184" i="5"/>
  <c r="D184" i="5"/>
  <c r="C185" i="5"/>
  <c r="D185" i="5"/>
  <c r="C186" i="5"/>
  <c r="D186" i="5"/>
  <c r="C187" i="5"/>
  <c r="D187" i="5"/>
  <c r="C188" i="5"/>
  <c r="D188" i="5"/>
  <c r="C189" i="5"/>
  <c r="D189" i="5"/>
  <c r="C190" i="5"/>
  <c r="N570" i="2" a="1"/>
  <c r="N574" i="2" a="1"/>
  <c r="C193" i="5"/>
  <c r="N576" i="2" a="1"/>
  <c r="D193" i="5"/>
  <c r="C194" i="5"/>
  <c r="D194" i="5"/>
  <c r="C195" i="5"/>
  <c r="D195" i="5"/>
  <c r="C196" i="5"/>
  <c r="D196" i="5"/>
  <c r="C197" i="5"/>
  <c r="D197" i="5"/>
  <c r="C198" i="5"/>
  <c r="D198" i="5"/>
  <c r="C199" i="5"/>
  <c r="D199" i="5"/>
  <c r="C200" i="5"/>
  <c r="D200" i="5"/>
  <c r="C201" i="5"/>
  <c r="D201" i="5"/>
  <c r="C203" i="5"/>
  <c r="C204" i="5"/>
  <c r="C205" i="5"/>
  <c r="C206" i="5"/>
  <c r="C207" i="5"/>
  <c r="C208" i="5"/>
  <c r="C209" i="5"/>
  <c r="N624" i="2" a="1"/>
  <c r="N630" i="2" a="1"/>
  <c r="C212" i="5"/>
  <c r="N633" i="2" a="1"/>
  <c r="N636" i="2" a="1"/>
  <c r="N640" i="2" a="1"/>
  <c r="C216" i="5"/>
  <c r="C217" i="5"/>
  <c r="N652" i="2" a="1"/>
  <c r="N655" i="2" a="1"/>
  <c r="C221" i="5"/>
  <c r="C222" i="5"/>
  <c r="D222" i="5"/>
  <c r="C223" i="5"/>
  <c r="D223" i="5"/>
  <c r="C224" i="5"/>
  <c r="D224" i="5"/>
  <c r="C225" i="5"/>
  <c r="D225" i="5"/>
  <c r="C226" i="5"/>
  <c r="D226" i="5"/>
  <c r="C227" i="5"/>
  <c r="D227" i="5"/>
  <c r="C228" i="5"/>
  <c r="D228" i="5"/>
  <c r="C229" i="5"/>
  <c r="D229" i="5"/>
  <c r="C230" i="5"/>
  <c r="D230" i="5"/>
  <c r="C231" i="5"/>
  <c r="C232" i="5"/>
  <c r="D232" i="5"/>
  <c r="C233" i="5"/>
  <c r="D233" i="5"/>
  <c r="C234" i="5"/>
  <c r="N703" i="2" a="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6" i="2"/>
  <c r="L37" i="2"/>
  <c r="L35" i="2"/>
  <c r="L38" i="2"/>
  <c r="L39" i="2"/>
  <c r="L40" i="2"/>
  <c r="L41" i="2"/>
  <c r="L42" i="2"/>
  <c r="L43" i="2"/>
  <c r="L44" i="2"/>
  <c r="L45" i="2"/>
  <c r="L46" i="2"/>
  <c r="L47" i="2"/>
  <c r="L48" i="2"/>
  <c r="L49" i="2"/>
  <c r="L50" i="2"/>
  <c r="L51" i="2"/>
  <c r="L52" i="2"/>
  <c r="L53" i="2"/>
  <c r="L54" i="2"/>
  <c r="L55" i="2"/>
  <c r="L56" i="2"/>
  <c r="L57" i="2"/>
  <c r="L58" i="2"/>
  <c r="L60" i="2"/>
  <c r="L61" i="2"/>
  <c r="L59" i="2"/>
  <c r="L62" i="2"/>
  <c r="L63" i="2"/>
  <c r="L64" i="2"/>
  <c r="L66" i="2"/>
  <c r="L67" i="2"/>
  <c r="L65" i="2"/>
  <c r="L68" i="2"/>
  <c r="L69" i="2"/>
  <c r="L70" i="2"/>
  <c r="L72" i="2"/>
  <c r="L73" i="2"/>
  <c r="L71" i="2"/>
  <c r="L75" i="2"/>
  <c r="L76" i="2"/>
  <c r="L74" i="2"/>
  <c r="L78" i="2"/>
  <c r="L79" i="2"/>
  <c r="L77" i="2"/>
  <c r="L80" i="2"/>
  <c r="L81" i="2"/>
  <c r="L82" i="2"/>
  <c r="L84" i="2"/>
  <c r="L85" i="2"/>
  <c r="L83" i="2"/>
  <c r="L87" i="2"/>
  <c r="L88" i="2"/>
  <c r="L86" i="2"/>
  <c r="L90" i="2"/>
  <c r="L91" i="2"/>
  <c r="L89" i="2"/>
  <c r="L93" i="2"/>
  <c r="L94" i="2"/>
  <c r="L92" i="2"/>
  <c r="L96" i="2"/>
  <c r="L97" i="2"/>
  <c r="L95" i="2"/>
  <c r="L99" i="2"/>
  <c r="L100" i="2"/>
  <c r="L98" i="2"/>
  <c r="L102" i="2"/>
  <c r="L103" i="2"/>
  <c r="L101" i="2"/>
  <c r="L105" i="2"/>
  <c r="L106" i="2"/>
  <c r="L104" i="2"/>
  <c r="L107" i="2"/>
  <c r="L108" i="2"/>
  <c r="L109" i="2"/>
  <c r="L111" i="2"/>
  <c r="L112" i="2"/>
  <c r="L110" i="2"/>
  <c r="L114" i="2"/>
  <c r="L115" i="2"/>
  <c r="L113" i="2"/>
  <c r="L117" i="2"/>
  <c r="L118" i="2"/>
  <c r="L116" i="2"/>
  <c r="L120" i="2"/>
  <c r="L121" i="2"/>
  <c r="L119" i="2"/>
  <c r="L122" i="2"/>
  <c r="L123" i="2"/>
  <c r="L124" i="2"/>
  <c r="L125" i="2"/>
  <c r="L126" i="2"/>
  <c r="L127" i="2"/>
  <c r="L128" i="2"/>
  <c r="L129" i="2"/>
  <c r="L130" i="2"/>
  <c r="L131" i="2"/>
  <c r="L132" i="2"/>
  <c r="L133" i="2"/>
  <c r="L134" i="2"/>
  <c r="L135" i="2"/>
  <c r="L136" i="2"/>
  <c r="L138" i="2"/>
  <c r="L139" i="2"/>
  <c r="L137"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1" i="2"/>
  <c r="L172" i="2"/>
  <c r="L170" i="2"/>
  <c r="L173" i="2"/>
  <c r="L174" i="2"/>
  <c r="L175" i="2"/>
  <c r="L176" i="2"/>
  <c r="L177" i="2"/>
  <c r="L178" i="2"/>
  <c r="L180" i="2"/>
  <c r="L181" i="2"/>
  <c r="L179" i="2"/>
  <c r="L182" i="2"/>
  <c r="L183" i="2"/>
  <c r="L184" i="2"/>
  <c r="L186" i="2"/>
  <c r="L187" i="2"/>
  <c r="L185" i="2"/>
  <c r="L188" i="2"/>
  <c r="L189" i="2"/>
  <c r="L190" i="2"/>
  <c r="L192" i="2"/>
  <c r="L193" i="2"/>
  <c r="L191" i="2"/>
  <c r="L194" i="2"/>
  <c r="L195" i="2"/>
  <c r="L196" i="2"/>
  <c r="L198" i="2"/>
  <c r="L199" i="2"/>
  <c r="L197" i="2"/>
  <c r="L200" i="2"/>
  <c r="L201" i="2"/>
  <c r="L202" i="2"/>
  <c r="L204" i="2"/>
  <c r="L205" i="2"/>
  <c r="L203" i="2"/>
  <c r="L207" i="2"/>
  <c r="L208" i="2"/>
  <c r="L206" i="2"/>
  <c r="L210" i="2"/>
  <c r="L211" i="2"/>
  <c r="L209" i="2"/>
  <c r="L213" i="2"/>
  <c r="L214" i="2"/>
  <c r="L212" i="2"/>
  <c r="L216" i="2"/>
  <c r="L217" i="2"/>
  <c r="L215" i="2"/>
  <c r="L219" i="2"/>
  <c r="L220" i="2"/>
  <c r="L218" i="2"/>
  <c r="L222" i="2"/>
  <c r="L223" i="2"/>
  <c r="L221" i="2"/>
  <c r="L225" i="2"/>
  <c r="L226" i="2"/>
  <c r="L224" i="2"/>
  <c r="L227" i="2"/>
  <c r="L228" i="2"/>
  <c r="L229" i="2"/>
  <c r="L231" i="2"/>
  <c r="L232" i="2"/>
  <c r="L230" i="2"/>
  <c r="L234" i="2"/>
  <c r="L235" i="2"/>
  <c r="L233" i="2"/>
  <c r="L237" i="2"/>
  <c r="L238" i="2"/>
  <c r="L236" i="2"/>
  <c r="L240" i="2"/>
  <c r="L241" i="2"/>
  <c r="L239" i="2"/>
  <c r="L242" i="2"/>
  <c r="L243" i="2"/>
  <c r="L244" i="2"/>
  <c r="L245" i="2"/>
  <c r="L246" i="2"/>
  <c r="L247" i="2"/>
  <c r="L248" i="2"/>
  <c r="L249" i="2"/>
  <c r="L250" i="2"/>
  <c r="L251" i="2"/>
  <c r="L252" i="2"/>
  <c r="L253" i="2"/>
  <c r="L254" i="2"/>
  <c r="L255" i="2"/>
  <c r="L256" i="2"/>
  <c r="L257" i="2"/>
  <c r="L258" i="2"/>
  <c r="L259" i="2"/>
  <c r="L261" i="2"/>
  <c r="L262" i="2"/>
  <c r="L260" i="2"/>
  <c r="L263" i="2"/>
  <c r="L264" i="2"/>
  <c r="L265" i="2"/>
  <c r="L266" i="2"/>
  <c r="L267" i="2"/>
  <c r="L268" i="2"/>
  <c r="L269" i="2"/>
  <c r="L270" i="2"/>
  <c r="L271" i="2"/>
  <c r="L272" i="2"/>
  <c r="L273" i="2"/>
  <c r="L274" i="2"/>
  <c r="L276" i="2"/>
  <c r="L277" i="2"/>
  <c r="L275" i="2"/>
  <c r="L278" i="2"/>
  <c r="L279" i="2"/>
  <c r="L280" i="2"/>
  <c r="L281" i="2"/>
  <c r="L282" i="2"/>
  <c r="L283" i="2"/>
  <c r="L284" i="2"/>
  <c r="L285" i="2"/>
  <c r="L286" i="2"/>
  <c r="L288" i="2"/>
  <c r="L289" i="2"/>
  <c r="L287" i="2"/>
  <c r="L291" i="2"/>
  <c r="L292" i="2"/>
  <c r="L290" i="2"/>
  <c r="L293" i="2"/>
  <c r="L294" i="2"/>
  <c r="L295" i="2"/>
  <c r="L297" i="2"/>
  <c r="L298" i="2"/>
  <c r="L296" i="2"/>
  <c r="L300" i="2"/>
  <c r="L301" i="2"/>
  <c r="L299" i="2"/>
  <c r="L302" i="2"/>
  <c r="L303" i="2"/>
  <c r="L304" i="2"/>
  <c r="L306" i="2"/>
  <c r="L307" i="2"/>
  <c r="L305" i="2"/>
  <c r="L308" i="2"/>
  <c r="L309" i="2"/>
  <c r="L310" i="2"/>
  <c r="L311" i="2"/>
  <c r="L312" i="2"/>
  <c r="L313" i="2"/>
  <c r="L315" i="2"/>
  <c r="L316" i="2"/>
  <c r="L314" i="2"/>
  <c r="L317" i="2"/>
  <c r="L318" i="2"/>
  <c r="L319" i="2"/>
  <c r="L321" i="2"/>
  <c r="L322" i="2"/>
  <c r="L320" i="2"/>
  <c r="L323" i="2"/>
  <c r="L324" i="2"/>
  <c r="L325" i="2"/>
  <c r="L327" i="2"/>
  <c r="L328" i="2"/>
  <c r="L326" i="2"/>
  <c r="L330" i="2"/>
  <c r="L331" i="2"/>
  <c r="L329" i="2"/>
  <c r="L333" i="2"/>
  <c r="L334" i="2"/>
  <c r="L332" i="2"/>
  <c r="L336" i="2"/>
  <c r="L337" i="2"/>
  <c r="L335" i="2"/>
  <c r="L339" i="2"/>
  <c r="L340" i="2"/>
  <c r="L338" i="2"/>
  <c r="L341" i="2"/>
  <c r="L342" i="2"/>
  <c r="L343" i="2"/>
  <c r="L345" i="2"/>
  <c r="L346" i="2"/>
  <c r="L344" i="2"/>
  <c r="L348" i="2"/>
  <c r="L349" i="2"/>
  <c r="L347" i="2"/>
  <c r="L351" i="2"/>
  <c r="L352" i="2"/>
  <c r="L350" i="2"/>
  <c r="L354" i="2"/>
  <c r="L355" i="2"/>
  <c r="L353" i="2"/>
  <c r="L357" i="2"/>
  <c r="L358" i="2"/>
  <c r="L356" i="2"/>
  <c r="L360" i="2"/>
  <c r="L361" i="2"/>
  <c r="L359" i="2"/>
  <c r="L362" i="2"/>
  <c r="L363" i="2"/>
  <c r="L364" i="2"/>
  <c r="L365" i="2"/>
  <c r="L366" i="2"/>
  <c r="L367" i="2"/>
  <c r="L368" i="2"/>
  <c r="L369" i="2"/>
  <c r="L370" i="2"/>
  <c r="L371" i="2"/>
  <c r="L372" i="2"/>
  <c r="L373" i="2"/>
  <c r="L374" i="2"/>
  <c r="L375" i="2"/>
  <c r="L376" i="2"/>
  <c r="L377" i="2"/>
  <c r="L378" i="2"/>
  <c r="L379" i="2"/>
  <c r="L380" i="2"/>
  <c r="L381" i="2"/>
  <c r="L382" i="2"/>
  <c r="L383" i="2"/>
  <c r="L384" i="2"/>
  <c r="L385" i="2"/>
  <c r="L387" i="2"/>
  <c r="L388" i="2"/>
  <c r="L386" i="2"/>
  <c r="L389" i="2"/>
  <c r="L390" i="2"/>
  <c r="L391" i="2"/>
  <c r="L392" i="2"/>
  <c r="L393" i="2"/>
  <c r="L394" i="2"/>
  <c r="L395" i="2"/>
  <c r="L396" i="2"/>
  <c r="L397" i="2"/>
  <c r="L399" i="2"/>
  <c r="L400" i="2"/>
  <c r="L398" i="2"/>
  <c r="L401" i="2"/>
  <c r="L402" i="2"/>
  <c r="L403" i="2"/>
  <c r="L404" i="2"/>
  <c r="L405" i="2"/>
  <c r="L406" i="2"/>
  <c r="L408" i="2"/>
  <c r="L409" i="2"/>
  <c r="L407" i="2"/>
  <c r="L411" i="2"/>
  <c r="L412" i="2"/>
  <c r="L410" i="2"/>
  <c r="L413" i="2"/>
  <c r="L414" i="2"/>
  <c r="L415" i="2"/>
  <c r="L416" i="2"/>
  <c r="L417" i="2"/>
  <c r="L418" i="2"/>
  <c r="L419" i="2"/>
  <c r="L420" i="2"/>
  <c r="L421" i="2"/>
  <c r="L422" i="2"/>
  <c r="L423" i="2"/>
  <c r="L424" i="2"/>
  <c r="L426" i="2"/>
  <c r="L427" i="2"/>
  <c r="L425" i="2"/>
  <c r="L429" i="2"/>
  <c r="L430" i="2"/>
  <c r="L428" i="2"/>
  <c r="L432" i="2"/>
  <c r="L433" i="2"/>
  <c r="L431" i="2"/>
  <c r="L434" i="2"/>
  <c r="L435" i="2"/>
  <c r="L436" i="2"/>
  <c r="L437" i="2"/>
  <c r="L438" i="2"/>
  <c r="L439" i="2"/>
  <c r="L441" i="2"/>
  <c r="L442" i="2"/>
  <c r="L440" i="2"/>
  <c r="L444" i="2"/>
  <c r="L445" i="2"/>
  <c r="L443" i="2"/>
  <c r="L447" i="2"/>
  <c r="L448" i="2"/>
  <c r="L446" i="2"/>
  <c r="L449" i="2"/>
  <c r="L450" i="2"/>
  <c r="L451" i="2"/>
  <c r="L453" i="2"/>
  <c r="L454" i="2"/>
  <c r="L452" i="2"/>
  <c r="L455" i="2"/>
  <c r="L456" i="2"/>
  <c r="L457" i="2"/>
  <c r="L459" i="2"/>
  <c r="L460" i="2"/>
  <c r="L458" i="2"/>
  <c r="L462" i="2"/>
  <c r="L463" i="2"/>
  <c r="L461" i="2"/>
  <c r="L465" i="2"/>
  <c r="L466" i="2"/>
  <c r="L464" i="2"/>
  <c r="L468" i="2"/>
  <c r="L469" i="2"/>
  <c r="L467" i="2"/>
  <c r="L471" i="2"/>
  <c r="L472" i="2"/>
  <c r="L470" i="2"/>
  <c r="L474" i="2"/>
  <c r="L475" i="2"/>
  <c r="L473" i="2"/>
  <c r="L477" i="2"/>
  <c r="L478" i="2"/>
  <c r="L476" i="2"/>
  <c r="L480" i="2"/>
  <c r="L481" i="2"/>
  <c r="L479"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8" i="2"/>
  <c r="L529" i="2"/>
  <c r="L527" i="2"/>
  <c r="L531" i="2"/>
  <c r="L532" i="2"/>
  <c r="L530" i="2"/>
  <c r="L533" i="2"/>
  <c r="L534" i="2"/>
  <c r="L535" i="2"/>
  <c r="L537" i="2"/>
  <c r="L538" i="2"/>
  <c r="L536" i="2"/>
  <c r="L539" i="2"/>
  <c r="L540" i="2"/>
  <c r="L541" i="2"/>
  <c r="L543" i="2"/>
  <c r="L544" i="2"/>
  <c r="L542" i="2"/>
  <c r="L545" i="2"/>
  <c r="L546" i="2"/>
  <c r="L547" i="2"/>
  <c r="L549" i="2"/>
  <c r="L550" i="2"/>
  <c r="L548" i="2"/>
  <c r="L551" i="2"/>
  <c r="L552" i="2"/>
  <c r="L553" i="2"/>
  <c r="L555" i="2"/>
  <c r="L556" i="2"/>
  <c r="L554" i="2"/>
  <c r="L558" i="2"/>
  <c r="L559" i="2"/>
  <c r="L557" i="2"/>
  <c r="L561" i="2"/>
  <c r="L562" i="2"/>
  <c r="L560" i="2"/>
  <c r="L564" i="2"/>
  <c r="L565" i="2"/>
  <c r="L563" i="2"/>
  <c r="L567" i="2"/>
  <c r="L568" i="2"/>
  <c r="L566" i="2"/>
  <c r="L569" i="2"/>
  <c r="L570" i="2"/>
  <c r="L571" i="2"/>
  <c r="L573" i="2"/>
  <c r="L574" i="2"/>
  <c r="L572" i="2"/>
  <c r="L575" i="2"/>
  <c r="L576" i="2"/>
  <c r="L577" i="2"/>
  <c r="L579" i="2"/>
  <c r="L580" i="2"/>
  <c r="L578" i="2"/>
  <c r="L582" i="2"/>
  <c r="L583" i="2"/>
  <c r="L581" i="2"/>
  <c r="L585" i="2"/>
  <c r="L586" i="2"/>
  <c r="L584" i="2"/>
  <c r="L588" i="2"/>
  <c r="L589" i="2"/>
  <c r="L587" i="2"/>
  <c r="L591" i="2"/>
  <c r="L592" i="2"/>
  <c r="L590" i="2"/>
  <c r="L594" i="2"/>
  <c r="L595" i="2"/>
  <c r="L593" i="2"/>
  <c r="L597" i="2"/>
  <c r="L598" i="2"/>
  <c r="L596" i="2"/>
  <c r="L600" i="2"/>
  <c r="L601" i="2"/>
  <c r="L599" i="2"/>
  <c r="L602" i="2"/>
  <c r="L603" i="2"/>
  <c r="L604" i="2"/>
  <c r="L605" i="2"/>
  <c r="L606" i="2"/>
  <c r="L607" i="2"/>
  <c r="L608" i="2"/>
  <c r="L609" i="2"/>
  <c r="L610" i="2"/>
  <c r="L611" i="2"/>
  <c r="L612" i="2"/>
  <c r="L613" i="2"/>
  <c r="L614" i="2"/>
  <c r="L615" i="2"/>
  <c r="L616" i="2"/>
  <c r="L617" i="2"/>
  <c r="L618" i="2"/>
  <c r="L619" i="2"/>
  <c r="L621" i="2"/>
  <c r="L622" i="2"/>
  <c r="L620" i="2"/>
  <c r="L623" i="2"/>
  <c r="L624" i="2"/>
  <c r="L625" i="2"/>
  <c r="L626" i="2"/>
  <c r="L627" i="2"/>
  <c r="L628" i="2"/>
  <c r="L629" i="2"/>
  <c r="L630" i="2"/>
  <c r="L631" i="2"/>
  <c r="L632" i="2"/>
  <c r="L633" i="2"/>
  <c r="L634" i="2"/>
  <c r="L635" i="2"/>
  <c r="L636" i="2"/>
  <c r="L637" i="2"/>
  <c r="L639" i="2"/>
  <c r="L640" i="2"/>
  <c r="L638" i="2"/>
  <c r="L641" i="2"/>
  <c r="L642" i="2"/>
  <c r="L643" i="2"/>
  <c r="L644" i="2"/>
  <c r="L645" i="2"/>
  <c r="L646" i="2"/>
  <c r="L648" i="2"/>
  <c r="L649" i="2"/>
  <c r="L647" i="2"/>
  <c r="L651" i="2"/>
  <c r="L652" i="2"/>
  <c r="L650" i="2"/>
  <c r="L654" i="2"/>
  <c r="L655" i="2"/>
  <c r="L653" i="2"/>
  <c r="L657" i="2"/>
  <c r="L658" i="2"/>
  <c r="L656" i="2"/>
  <c r="L660" i="2"/>
  <c r="L661" i="2"/>
  <c r="L659" i="2"/>
  <c r="L662" i="2"/>
  <c r="L663" i="2"/>
  <c r="L664" i="2"/>
  <c r="L665" i="2"/>
  <c r="L666" i="2"/>
  <c r="L667" i="2"/>
  <c r="L669" i="2"/>
  <c r="L670" i="2"/>
  <c r="L668" i="2"/>
  <c r="L671" i="2"/>
  <c r="L672" i="2"/>
  <c r="L673" i="2"/>
  <c r="L675" i="2"/>
  <c r="L676" i="2"/>
  <c r="L674" i="2"/>
  <c r="L678" i="2"/>
  <c r="L679" i="2"/>
  <c r="L677" i="2"/>
  <c r="L681" i="2"/>
  <c r="L682" i="2"/>
  <c r="L680" i="2"/>
  <c r="L684" i="2"/>
  <c r="L685" i="2"/>
  <c r="L683" i="2"/>
  <c r="L686" i="2"/>
  <c r="L687" i="2"/>
  <c r="L688" i="2"/>
  <c r="L689" i="2"/>
  <c r="L690" i="2"/>
  <c r="L691" i="2"/>
  <c r="L692" i="2"/>
  <c r="L693" i="2"/>
  <c r="L694" i="2"/>
  <c r="L696" i="2"/>
  <c r="L697" i="2"/>
  <c r="L695" i="2"/>
  <c r="L699" i="2"/>
  <c r="L700" i="2"/>
  <c r="L698" i="2"/>
  <c r="L702" i="2"/>
  <c r="L703" i="2"/>
  <c r="L701" i="2"/>
  <c r="L705" i="2"/>
  <c r="L706" i="2"/>
  <c r="L704" i="2"/>
  <c r="L708" i="2"/>
  <c r="L709" i="2"/>
  <c r="L707" i="2"/>
  <c r="L711" i="2"/>
  <c r="L712" i="2"/>
  <c r="L710" i="2"/>
  <c r="L714" i="2"/>
  <c r="L715" i="2"/>
  <c r="L713" i="2"/>
  <c r="L716" i="2"/>
  <c r="L717" i="2"/>
  <c r="L718" i="2"/>
  <c r="L720" i="2"/>
  <c r="L721" i="2"/>
  <c r="L719" i="2"/>
  <c r="L2" i="2"/>
  <c r="E19" i="3"/>
  <c r="E18" i="3"/>
  <c r="D12" i="3"/>
  <c r="D15" i="3"/>
  <c r="D18" i="3"/>
  <c r="E12" i="3"/>
  <c r="E13" i="3"/>
  <c r="E14" i="3"/>
  <c r="E15" i="3"/>
  <c r="E16" i="3"/>
  <c r="E17" i="3"/>
  <c r="D126" i="5"/>
  <c r="E126" i="5"/>
  <c r="F126" i="5"/>
  <c r="D13" i="3"/>
  <c r="C127" i="5"/>
  <c r="D11" i="3"/>
  <c r="C162" i="5"/>
  <c r="D14" i="3"/>
  <c r="D162" i="5"/>
  <c r="E162" i="5"/>
  <c r="F162" i="5"/>
  <c r="D16" i="3"/>
  <c r="C202" i="5"/>
  <c r="D17" i="3"/>
  <c r="D202" i="5"/>
  <c r="E202" i="5"/>
  <c r="F202" i="5"/>
  <c r="D19" i="3"/>
  <c r="N569" i="2" a="1"/>
  <c r="C191" i="5"/>
  <c r="N573" i="2" a="1"/>
  <c r="C192" i="5"/>
  <c r="N708" i="2" a="1"/>
  <c r="C237" i="5"/>
  <c r="N707" i="2" a="1"/>
  <c r="D237" i="5"/>
  <c r="E237" i="5"/>
  <c r="F237" i="5"/>
  <c r="N711" i="2" a="1"/>
  <c r="C238" i="5"/>
  <c r="N710" i="2" a="1"/>
  <c r="D238" i="5"/>
  <c r="E238" i="5"/>
  <c r="F238" i="5"/>
  <c r="N714" i="2" a="1"/>
  <c r="C239" i="5"/>
  <c r="N713" i="2" a="1"/>
  <c r="D239" i="5"/>
  <c r="E239" i="5"/>
  <c r="F239" i="5"/>
  <c r="N716" i="2" a="1"/>
  <c r="C240" i="5"/>
  <c r="N718" i="2" a="1"/>
  <c r="D240" i="5"/>
  <c r="E240" i="5"/>
  <c r="F240" i="5"/>
  <c r="N720" i="2" a="1"/>
  <c r="C241" i="5"/>
  <c r="N719" i="2" a="1"/>
  <c r="D241" i="5"/>
  <c r="E241" i="5"/>
  <c r="F241" i="5"/>
  <c r="N626" i="2" a="1"/>
  <c r="C210" i="5"/>
  <c r="N629" i="2" a="1"/>
  <c r="C211" i="5"/>
  <c r="N635" i="2" a="1"/>
  <c r="C213" i="5"/>
  <c r="N639" i="2" a="1"/>
  <c r="C214" i="5"/>
  <c r="N641" i="2" a="1"/>
  <c r="C215" i="5"/>
  <c r="N651" i="2" a="1"/>
  <c r="C218" i="5"/>
  <c r="N654" i="2" a="1"/>
  <c r="C219" i="5"/>
  <c r="N657" i="2" a="1"/>
  <c r="C220" i="5"/>
  <c r="N704" i="2" a="1"/>
  <c r="D236" i="5"/>
  <c r="N702" i="2" a="1"/>
  <c r="C235" i="5"/>
  <c r="N701" i="2" a="1"/>
  <c r="D235" i="5"/>
  <c r="E235" i="5"/>
  <c r="F235" i="5"/>
  <c r="N705" i="2" a="1"/>
  <c r="C236" i="5"/>
  <c r="D10" i="3"/>
  <c r="N446" i="2" a="1"/>
  <c r="D150" i="5"/>
  <c r="N449" i="2" a="1"/>
  <c r="C151" i="5"/>
  <c r="N451" i="2" a="1"/>
  <c r="D151" i="5"/>
  <c r="E151" i="5"/>
  <c r="F151" i="5"/>
  <c r="N453" i="2" a="1"/>
  <c r="C152" i="5"/>
  <c r="E152" i="5"/>
  <c r="F152" i="5"/>
  <c r="N566" i="2" a="1"/>
  <c r="D190" i="5"/>
  <c r="E190" i="5"/>
  <c r="F190" i="5"/>
  <c r="N571" i="2" a="1"/>
  <c r="D191" i="5"/>
  <c r="E191" i="5"/>
  <c r="F191" i="5"/>
  <c r="N572" i="2" a="1"/>
  <c r="D192" i="5"/>
  <c r="E192" i="5"/>
  <c r="F192" i="5"/>
  <c r="N698" i="2" a="1"/>
  <c r="D234" i="5"/>
  <c r="E234" i="5"/>
  <c r="F234" i="5"/>
  <c r="N291" i="2" a="1"/>
  <c r="C98" i="5"/>
  <c r="N290" i="2" a="1"/>
  <c r="D98" i="5"/>
  <c r="E98" i="5"/>
  <c r="F98" i="5"/>
  <c r="N293" i="2" a="1"/>
  <c r="C99" i="5"/>
  <c r="N295" i="2" a="1"/>
  <c r="D99" i="5"/>
  <c r="E99" i="5"/>
  <c r="F99" i="5"/>
  <c r="N297" i="2" a="1"/>
  <c r="C100" i="5"/>
  <c r="N296" i="2" a="1"/>
  <c r="D100" i="5"/>
  <c r="E100" i="5"/>
  <c r="F100" i="5"/>
  <c r="N300" i="2" a="1"/>
  <c r="C101" i="5"/>
  <c r="N299" i="2" a="1"/>
  <c r="D101" i="5"/>
  <c r="E101" i="5"/>
  <c r="F101" i="5"/>
  <c r="N302" i="2" a="1"/>
  <c r="C102" i="5"/>
  <c r="N304" i="2" a="1"/>
  <c r="D102" i="5"/>
  <c r="E102" i="5"/>
  <c r="F102" i="5"/>
  <c r="N306" i="2" a="1"/>
  <c r="C103" i="5"/>
  <c r="N305" i="2" a="1"/>
  <c r="D103" i="5"/>
  <c r="E103" i="5"/>
  <c r="F103" i="5"/>
  <c r="N308" i="2" a="1"/>
  <c r="C104" i="5"/>
  <c r="N310" i="2" a="1"/>
  <c r="D104" i="5"/>
  <c r="E104" i="5"/>
  <c r="F104" i="5"/>
  <c r="N311" i="2" a="1"/>
  <c r="C105" i="5"/>
  <c r="N313" i="2" a="1"/>
  <c r="D105" i="5"/>
  <c r="E105" i="5"/>
  <c r="F105" i="5"/>
  <c r="N315" i="2" a="1"/>
  <c r="C106" i="5"/>
  <c r="N314" i="2" a="1"/>
  <c r="D106" i="5"/>
  <c r="E106" i="5"/>
  <c r="F106" i="5"/>
  <c r="N317" i="2" a="1"/>
  <c r="C107" i="5"/>
  <c r="N319" i="2" a="1"/>
  <c r="D107" i="5"/>
  <c r="N321" i="2" a="1"/>
  <c r="C108" i="5"/>
  <c r="N320" i="2" a="1"/>
  <c r="D108" i="5"/>
  <c r="E108" i="5"/>
  <c r="F108" i="5"/>
  <c r="N323" i="2" a="1"/>
  <c r="C109" i="5"/>
  <c r="N325" i="2" a="1"/>
  <c r="D109" i="5"/>
  <c r="E109" i="5"/>
  <c r="F109" i="5"/>
  <c r="N327" i="2" a="1"/>
  <c r="C110" i="5"/>
  <c r="N326" i="2" a="1"/>
  <c r="D110" i="5"/>
  <c r="E110" i="5"/>
  <c r="F110" i="5"/>
  <c r="N330" i="2" a="1"/>
  <c r="C111" i="5"/>
  <c r="N329" i="2" a="1"/>
  <c r="D111" i="5"/>
  <c r="E111" i="5"/>
  <c r="F111" i="5"/>
  <c r="N333" i="2" a="1"/>
  <c r="C112" i="5"/>
  <c r="N332" i="2" a="1"/>
  <c r="D112" i="5"/>
  <c r="E112" i="5"/>
  <c r="F112" i="5"/>
  <c r="N336" i="2" a="1"/>
  <c r="C113" i="5"/>
  <c r="N335" i="2" a="1"/>
  <c r="D113" i="5"/>
  <c r="E113" i="5"/>
  <c r="F113" i="5"/>
  <c r="N339" i="2" a="1"/>
  <c r="C114" i="5"/>
  <c r="N338" i="2" a="1"/>
  <c r="D114" i="5"/>
  <c r="E114" i="5"/>
  <c r="F114" i="5"/>
  <c r="N341" i="2" a="1"/>
  <c r="C115" i="5"/>
  <c r="N343" i="2" a="1"/>
  <c r="D115" i="5"/>
  <c r="E115" i="5"/>
  <c r="F115" i="5"/>
  <c r="N345" i="2" a="1"/>
  <c r="C116" i="5"/>
  <c r="N344" i="2" a="1"/>
  <c r="D116" i="5"/>
  <c r="E116" i="5"/>
  <c r="F116" i="5"/>
  <c r="N347" i="2" a="1"/>
  <c r="D117" i="5"/>
  <c r="E117" i="5"/>
  <c r="F117" i="5"/>
  <c r="N351" i="2" a="1"/>
  <c r="C118" i="5"/>
  <c r="N350" i="2" a="1"/>
  <c r="D118" i="5"/>
  <c r="E118" i="5"/>
  <c r="F118" i="5"/>
  <c r="N354" i="2" a="1"/>
  <c r="C119" i="5"/>
  <c r="N353" i="2" a="1"/>
  <c r="D119" i="5"/>
  <c r="E119" i="5"/>
  <c r="F119" i="5"/>
  <c r="N357" i="2" a="1"/>
  <c r="C120" i="5"/>
  <c r="N356" i="2" a="1"/>
  <c r="D120" i="5"/>
  <c r="E120" i="5"/>
  <c r="F120" i="5"/>
  <c r="N360" i="2" a="1"/>
  <c r="C121" i="5"/>
  <c r="N359" i="2" a="1"/>
  <c r="D121" i="5"/>
  <c r="E121" i="5"/>
  <c r="F121" i="5"/>
  <c r="N379" i="2" a="1"/>
  <c r="D127" i="5"/>
  <c r="N382" i="2" a="1"/>
  <c r="D128" i="5"/>
  <c r="E128" i="5"/>
  <c r="F128" i="5"/>
  <c r="N383" i="2" a="1"/>
  <c r="C129" i="5"/>
  <c r="E129" i="5"/>
  <c r="F129" i="5"/>
  <c r="N387" i="2" a="1"/>
  <c r="C130" i="5"/>
  <c r="N386" i="2" a="1"/>
  <c r="D130" i="5"/>
  <c r="N389" i="2" a="1"/>
  <c r="C131" i="5"/>
  <c r="N391" i="2" a="1"/>
  <c r="D131" i="5"/>
  <c r="E131" i="5"/>
  <c r="F131" i="5"/>
  <c r="N392" i="2" a="1"/>
  <c r="C132" i="5"/>
  <c r="E132" i="5"/>
  <c r="F132" i="5"/>
  <c r="N395" i="2" a="1"/>
  <c r="C133" i="5"/>
  <c r="E133" i="5"/>
  <c r="F133" i="5"/>
  <c r="D9" i="3"/>
  <c r="D8" i="3"/>
  <c r="E11" i="3"/>
  <c r="O646" i="2"/>
  <c r="E8" i="3"/>
  <c r="E9" i="3"/>
  <c r="E10" i="3"/>
  <c r="O66" i="2"/>
  <c r="O65" i="2"/>
  <c r="O712" i="2"/>
  <c r="O710" i="2"/>
  <c r="O716" i="2"/>
  <c r="O715" i="2"/>
  <c r="O713" i="2"/>
  <c r="O717" i="2"/>
  <c r="O718" i="2"/>
  <c r="O719" i="2"/>
  <c r="O631" i="2"/>
  <c r="O643" i="2"/>
  <c r="O648" i="2"/>
  <c r="O607" i="2"/>
  <c r="O616" i="2"/>
  <c r="O620" i="2"/>
  <c r="O473" i="2"/>
  <c r="O610" i="2"/>
  <c r="O613" i="2"/>
  <c r="O619" i="2"/>
  <c r="O651" i="2"/>
  <c r="O708" i="2"/>
  <c r="O654" i="2"/>
  <c r="O657" i="2"/>
  <c r="O652" i="2"/>
  <c r="O655" i="2"/>
  <c r="O709" i="2"/>
  <c r="O647" i="2"/>
  <c r="O704" i="2"/>
  <c r="O650" i="2"/>
  <c r="O653" i="2"/>
  <c r="O707" i="2"/>
  <c r="O711" i="2"/>
  <c r="O714" i="2"/>
  <c r="N627" i="2" a="1"/>
  <c r="O721" i="2"/>
  <c r="N632" i="2" a="1"/>
  <c r="O720" i="2"/>
  <c r="N642" i="2" a="1"/>
  <c r="O642" i="2"/>
  <c r="N644" i="2" a="1"/>
  <c r="O644" i="2"/>
  <c r="N645" i="2" a="1"/>
  <c r="O645" i="2"/>
  <c r="N649" i="2" a="1"/>
  <c r="O649" i="2"/>
  <c r="O399" i="2"/>
  <c r="O502" i="2"/>
  <c r="O508" i="2"/>
  <c r="O514" i="2"/>
  <c r="O401" i="2"/>
  <c r="O404" i="2"/>
  <c r="O505" i="2"/>
  <c r="O511" i="2"/>
  <c r="N575" i="2" a="1"/>
  <c r="O575" i="2"/>
  <c r="N577" i="2" a="1"/>
  <c r="O577" i="2"/>
  <c r="N579" i="2" a="1"/>
  <c r="O579" i="2"/>
  <c r="N580" i="2" a="1"/>
  <c r="O580" i="2"/>
  <c r="N578" i="2" a="1"/>
  <c r="O578" i="2"/>
  <c r="N582" i="2" a="1"/>
  <c r="O582" i="2"/>
  <c r="N583" i="2" a="1"/>
  <c r="O583" i="2"/>
  <c r="N581" i="2" a="1"/>
  <c r="O581" i="2"/>
  <c r="N585" i="2" a="1"/>
  <c r="O585" i="2"/>
  <c r="N586" i="2" a="1"/>
  <c r="O586" i="2"/>
  <c r="N584" i="2" a="1"/>
  <c r="O584" i="2"/>
  <c r="N588" i="2" a="1"/>
  <c r="O588" i="2"/>
  <c r="N589" i="2" a="1"/>
  <c r="O589" i="2"/>
  <c r="N587" i="2" a="1"/>
  <c r="O587" i="2"/>
  <c r="N591" i="2" a="1"/>
  <c r="O591" i="2"/>
  <c r="N592" i="2" a="1"/>
  <c r="O592" i="2"/>
  <c r="N590" i="2" a="1"/>
  <c r="O590" i="2"/>
  <c r="N594" i="2" a="1"/>
  <c r="O594" i="2"/>
  <c r="N595" i="2" a="1"/>
  <c r="O595" i="2"/>
  <c r="N593" i="2" a="1"/>
  <c r="O593" i="2"/>
  <c r="N597" i="2" a="1"/>
  <c r="O597" i="2"/>
  <c r="N598" i="2" a="1"/>
  <c r="O598" i="2"/>
  <c r="N596" i="2" a="1"/>
  <c r="O596" i="2"/>
  <c r="N600" i="2" a="1"/>
  <c r="O600" i="2"/>
  <c r="N601" i="2" a="1"/>
  <c r="O601" i="2"/>
  <c r="N599" i="2" a="1"/>
  <c r="O599" i="2"/>
  <c r="O635" i="2"/>
  <c r="O602" i="2"/>
  <c r="O626" i="2"/>
  <c r="O629" i="2"/>
  <c r="O632" i="2"/>
  <c r="O639" i="2"/>
  <c r="O636" i="2"/>
  <c r="O624" i="2"/>
  <c r="O640" i="2"/>
  <c r="O633" i="2"/>
  <c r="O630" i="2"/>
  <c r="O627" i="2"/>
  <c r="O603" i="2"/>
  <c r="O628" i="2"/>
  <c r="O634" i="2"/>
  <c r="O637" i="2"/>
  <c r="O638" i="2"/>
  <c r="O625" i="2"/>
  <c r="O604" i="2"/>
  <c r="N605" i="2" a="1"/>
  <c r="O605" i="2"/>
  <c r="N606" i="2" a="1"/>
  <c r="O606" i="2"/>
  <c r="N608" i="2" a="1"/>
  <c r="O608" i="2"/>
  <c r="N609" i="2" a="1"/>
  <c r="O609" i="2"/>
  <c r="N611" i="2" a="1"/>
  <c r="O611" i="2"/>
  <c r="O641" i="2"/>
  <c r="N612" i="2" a="1"/>
  <c r="O612" i="2"/>
  <c r="N614" i="2" a="1"/>
  <c r="O614" i="2"/>
  <c r="N615" i="2" a="1"/>
  <c r="O615" i="2"/>
  <c r="N617" i="2" a="1"/>
  <c r="O617" i="2"/>
  <c r="N618" i="2" a="1"/>
  <c r="O618" i="2"/>
  <c r="N621" i="2" a="1"/>
  <c r="O621" i="2"/>
  <c r="N622" i="2" a="1"/>
  <c r="O622" i="2"/>
  <c r="N623" i="2" a="1"/>
  <c r="O623" i="2"/>
  <c r="N394" i="2" a="1"/>
  <c r="O394" i="2"/>
  <c r="N396" i="2" a="1"/>
  <c r="O396" i="2"/>
  <c r="N397" i="2" a="1"/>
  <c r="O397" i="2"/>
  <c r="N400" i="2" a="1"/>
  <c r="O400" i="2"/>
  <c r="N398" i="2" a="1"/>
  <c r="O398" i="2"/>
  <c r="N402" i="2" a="1"/>
  <c r="O402" i="2"/>
  <c r="N403" i="2" a="1"/>
  <c r="O403" i="2"/>
  <c r="N405" i="2" a="1"/>
  <c r="O405" i="2"/>
  <c r="N406" i="2" a="1"/>
  <c r="O406" i="2"/>
  <c r="N408" i="2" a="1"/>
  <c r="O408" i="2"/>
  <c r="N409" i="2" a="1"/>
  <c r="O409" i="2"/>
  <c r="N407" i="2" a="1"/>
  <c r="O407" i="2"/>
  <c r="N411" i="2" a="1"/>
  <c r="O411" i="2"/>
  <c r="N412" i="2" a="1"/>
  <c r="O412" i="2"/>
  <c r="N410" i="2" a="1"/>
  <c r="O410" i="2"/>
  <c r="N413" i="2" a="1"/>
  <c r="O413" i="2"/>
  <c r="N414" i="2" a="1"/>
  <c r="O414" i="2"/>
  <c r="N415" i="2" a="1"/>
  <c r="O415" i="2"/>
  <c r="N416" i="2" a="1"/>
  <c r="O416" i="2"/>
  <c r="N417" i="2" a="1"/>
  <c r="O417" i="2"/>
  <c r="N418" i="2" a="1"/>
  <c r="O418" i="2"/>
  <c r="N419" i="2" a="1"/>
  <c r="O419" i="2"/>
  <c r="N420" i="2" a="1"/>
  <c r="O420" i="2"/>
  <c r="N421" i="2" a="1"/>
  <c r="O421" i="2"/>
  <c r="N452" i="2" a="1"/>
  <c r="O452" i="2"/>
  <c r="N455" i="2" a="1"/>
  <c r="O455" i="2"/>
  <c r="N456" i="2" a="1"/>
  <c r="O456" i="2"/>
  <c r="N457" i="2" a="1"/>
  <c r="O457" i="2"/>
  <c r="N459" i="2" a="1"/>
  <c r="O459" i="2"/>
  <c r="N460" i="2" a="1"/>
  <c r="O460" i="2"/>
  <c r="N458" i="2" a="1"/>
  <c r="O458" i="2"/>
  <c r="N462" i="2" a="1"/>
  <c r="O462" i="2"/>
  <c r="N463" i="2" a="1"/>
  <c r="O463" i="2"/>
  <c r="N461" i="2" a="1"/>
  <c r="O461" i="2"/>
  <c r="N465" i="2" a="1"/>
  <c r="O465" i="2"/>
  <c r="N466" i="2" a="1"/>
  <c r="O466" i="2"/>
  <c r="N464" i="2" a="1"/>
  <c r="O464" i="2"/>
  <c r="N468" i="2" a="1"/>
  <c r="O468" i="2"/>
  <c r="N469" i="2" a="1"/>
  <c r="O469" i="2"/>
  <c r="N467" i="2" a="1"/>
  <c r="O467" i="2"/>
  <c r="N471" i="2" a="1"/>
  <c r="O471" i="2"/>
  <c r="N472" i="2" a="1"/>
  <c r="O472" i="2"/>
  <c r="N470" i="2" a="1"/>
  <c r="O470" i="2"/>
  <c r="N474" i="2" a="1"/>
  <c r="O474" i="2"/>
  <c r="N475" i="2" a="1"/>
  <c r="O475" i="2"/>
  <c r="N477" i="2" a="1"/>
  <c r="O477" i="2"/>
  <c r="N478" i="2" a="1"/>
  <c r="O478" i="2"/>
  <c r="N476" i="2" a="1"/>
  <c r="O476" i="2"/>
  <c r="N480" i="2" a="1"/>
  <c r="O480" i="2"/>
  <c r="N481" i="2" a="1"/>
  <c r="O481" i="2"/>
  <c r="N479" i="2" a="1"/>
  <c r="O479" i="2"/>
  <c r="N482" i="2" a="1"/>
  <c r="O482" i="2"/>
  <c r="O569" i="2"/>
  <c r="N483" i="2" a="1"/>
  <c r="O483" i="2"/>
  <c r="O570" i="2"/>
  <c r="N484" i="2" a="1"/>
  <c r="O484" i="2"/>
  <c r="O571" i="2"/>
  <c r="O566" i="2"/>
  <c r="N485" i="2" a="1"/>
  <c r="O485" i="2"/>
  <c r="N486" i="2" a="1"/>
  <c r="O486" i="2"/>
  <c r="N487" i="2" a="1"/>
  <c r="O487" i="2"/>
  <c r="N488" i="2" a="1"/>
  <c r="O488" i="2"/>
  <c r="N489" i="2" a="1"/>
  <c r="O489" i="2"/>
  <c r="N490" i="2" a="1"/>
  <c r="O490" i="2"/>
  <c r="N491" i="2" a="1"/>
  <c r="O491" i="2"/>
  <c r="O573" i="2"/>
  <c r="N492" i="2" a="1"/>
  <c r="O492" i="2"/>
  <c r="N493" i="2" a="1"/>
  <c r="O493" i="2"/>
  <c r="N494" i="2" a="1"/>
  <c r="O494" i="2"/>
  <c r="N495" i="2" a="1"/>
  <c r="O495" i="2"/>
  <c r="N496" i="2" a="1"/>
  <c r="O496" i="2"/>
  <c r="N497" i="2" a="1"/>
  <c r="O497" i="2"/>
  <c r="N498" i="2" a="1"/>
  <c r="O498" i="2"/>
  <c r="N499" i="2" a="1"/>
  <c r="O499" i="2"/>
  <c r="N500" i="2" a="1"/>
  <c r="O500" i="2"/>
  <c r="N501" i="2" a="1"/>
  <c r="O501" i="2"/>
  <c r="N503" i="2" a="1"/>
  <c r="O503" i="2"/>
  <c r="N504" i="2" a="1"/>
  <c r="O504" i="2"/>
  <c r="N506" i="2" a="1"/>
  <c r="O506" i="2"/>
  <c r="N507" i="2" a="1"/>
  <c r="O507" i="2"/>
  <c r="N509" i="2" a="1"/>
  <c r="O509" i="2"/>
  <c r="N510" i="2" a="1"/>
  <c r="O510" i="2"/>
  <c r="N512" i="2" a="1"/>
  <c r="O512" i="2"/>
  <c r="N513" i="2" a="1"/>
  <c r="O513" i="2"/>
  <c r="N515" i="2" a="1"/>
  <c r="O515" i="2"/>
  <c r="N516" i="2" a="1"/>
  <c r="O516" i="2"/>
  <c r="N517" i="2" a="1"/>
  <c r="O517" i="2"/>
  <c r="N518" i="2" a="1"/>
  <c r="O518" i="2"/>
  <c r="N519" i="2" a="1"/>
  <c r="O519" i="2"/>
  <c r="N520" i="2" a="1"/>
  <c r="O520" i="2"/>
  <c r="N521" i="2" a="1"/>
  <c r="O521" i="2"/>
  <c r="N522" i="2" a="1"/>
  <c r="O522" i="2"/>
  <c r="O574" i="2"/>
  <c r="N523" i="2" a="1"/>
  <c r="O523" i="2"/>
  <c r="N524" i="2" a="1"/>
  <c r="O524" i="2"/>
  <c r="N525" i="2" a="1"/>
  <c r="O525" i="2"/>
  <c r="N526" i="2" a="1"/>
  <c r="O526" i="2"/>
  <c r="N528" i="2" a="1"/>
  <c r="O528" i="2"/>
  <c r="N529" i="2" a="1"/>
  <c r="O529" i="2"/>
  <c r="N527" i="2" a="1"/>
  <c r="O527" i="2"/>
  <c r="N531" i="2" a="1"/>
  <c r="O531" i="2"/>
  <c r="N532" i="2" a="1"/>
  <c r="O532" i="2"/>
  <c r="N530" i="2" a="1"/>
  <c r="O530" i="2"/>
  <c r="D178" i="5"/>
  <c r="E178" i="5"/>
  <c r="F178" i="5"/>
  <c r="N533" i="2" a="1"/>
  <c r="O533" i="2"/>
  <c r="N534" i="2" a="1"/>
  <c r="O534" i="2"/>
  <c r="N535" i="2" a="1"/>
  <c r="O535" i="2"/>
  <c r="D179" i="5"/>
  <c r="E179" i="5"/>
  <c r="F179" i="5"/>
  <c r="N537" i="2" a="1"/>
  <c r="O537" i="2"/>
  <c r="N538" i="2" a="1"/>
  <c r="O538" i="2"/>
  <c r="N536" i="2" a="1"/>
  <c r="O536" i="2"/>
  <c r="O572" i="2"/>
  <c r="D180" i="5"/>
  <c r="E180" i="5"/>
  <c r="F180" i="5"/>
  <c r="N539" i="2" a="1"/>
  <c r="O539" i="2"/>
  <c r="N540" i="2" a="1"/>
  <c r="O540" i="2"/>
  <c r="N541" i="2" a="1"/>
  <c r="O541" i="2"/>
  <c r="D181" i="5"/>
  <c r="E181" i="5"/>
  <c r="F181" i="5"/>
  <c r="N543" i="2" a="1"/>
  <c r="O543" i="2"/>
  <c r="N544" i="2" a="1"/>
  <c r="O544" i="2"/>
  <c r="N542" i="2" a="1"/>
  <c r="O542" i="2"/>
  <c r="N545" i="2" a="1"/>
  <c r="O545" i="2"/>
  <c r="N546" i="2" a="1"/>
  <c r="O546" i="2"/>
  <c r="N547" i="2" a="1"/>
  <c r="O547" i="2"/>
  <c r="N549" i="2" a="1"/>
  <c r="O549" i="2"/>
  <c r="N550" i="2" a="1"/>
  <c r="O550" i="2"/>
  <c r="N548" i="2" a="1"/>
  <c r="O548" i="2"/>
  <c r="N551" i="2" a="1"/>
  <c r="O551" i="2"/>
  <c r="N552" i="2" a="1"/>
  <c r="O552" i="2"/>
  <c r="N553" i="2" a="1"/>
  <c r="O553" i="2"/>
  <c r="N555" i="2" a="1"/>
  <c r="O555" i="2"/>
  <c r="N556" i="2" a="1"/>
  <c r="O556" i="2"/>
  <c r="N554" i="2" a="1"/>
  <c r="O554" i="2"/>
  <c r="N558" i="2" a="1"/>
  <c r="O558" i="2"/>
  <c r="N559" i="2" a="1"/>
  <c r="O559" i="2"/>
  <c r="N557" i="2" a="1"/>
  <c r="O557" i="2"/>
  <c r="N561" i="2" a="1"/>
  <c r="O561" i="2"/>
  <c r="N562" i="2" a="1"/>
  <c r="O562" i="2"/>
  <c r="N560" i="2" a="1"/>
  <c r="O560" i="2"/>
  <c r="N564" i="2" a="1"/>
  <c r="O564" i="2"/>
  <c r="N565" i="2" a="1"/>
  <c r="O565" i="2"/>
  <c r="O576" i="2"/>
  <c r="N563" i="2" a="1"/>
  <c r="O563" i="2"/>
  <c r="N567" i="2" a="1"/>
  <c r="O567" i="2"/>
  <c r="N568" i="2" a="1"/>
  <c r="O568" i="2"/>
  <c r="O659" i="2"/>
  <c r="O392" i="2"/>
  <c r="O389" i="2"/>
  <c r="O390" i="2"/>
  <c r="O393" i="2"/>
  <c r="O386" i="2"/>
  <c r="O391" i="2"/>
  <c r="N380" i="2" a="1"/>
  <c r="O395" i="2"/>
  <c r="N385" i="2" a="1"/>
  <c r="O385" i="2"/>
  <c r="N502" i="2" a="1"/>
  <c r="D168" i="5"/>
  <c r="E168" i="5"/>
  <c r="F168" i="5"/>
  <c r="N505" i="2" a="1"/>
  <c r="D169" i="5"/>
  <c r="E169" i="5"/>
  <c r="F169" i="5"/>
  <c r="N508" i="2" a="1"/>
  <c r="D170" i="5"/>
  <c r="E170" i="5"/>
  <c r="F170" i="5"/>
  <c r="N511" i="2" a="1"/>
  <c r="D171" i="5"/>
  <c r="E171" i="5"/>
  <c r="F171" i="5"/>
  <c r="N514" i="2" a="1"/>
  <c r="D172" i="5"/>
  <c r="E172" i="5"/>
  <c r="F172" i="5"/>
  <c r="O247" i="2"/>
  <c r="O250" i="2"/>
  <c r="O701" i="2"/>
  <c r="O656" i="2"/>
  <c r="O660" i="2"/>
  <c r="O362" i="2"/>
  <c r="O380" i="2"/>
  <c r="O387" i="2"/>
  <c r="O383" i="2"/>
  <c r="O363" i="2"/>
  <c r="O378" i="2"/>
  <c r="O381" i="2"/>
  <c r="O384" i="2"/>
  <c r="O364" i="2"/>
  <c r="O379" i="2"/>
  <c r="O382" i="2"/>
  <c r="N365" i="2" a="1"/>
  <c r="O365" i="2"/>
  <c r="N366" i="2" a="1"/>
  <c r="O366" i="2"/>
  <c r="N367" i="2" a="1"/>
  <c r="O367" i="2"/>
  <c r="N368" i="2" a="1"/>
  <c r="O368" i="2"/>
  <c r="N369" i="2" a="1"/>
  <c r="O369" i="2"/>
  <c r="N370" i="2" a="1"/>
  <c r="O370" i="2"/>
  <c r="N371" i="2" a="1"/>
  <c r="O371" i="2"/>
  <c r="N372" i="2" a="1"/>
  <c r="O372" i="2"/>
  <c r="O388" i="2"/>
  <c r="N373" i="2" a="1"/>
  <c r="O373" i="2"/>
  <c r="N374" i="2" a="1"/>
  <c r="O374" i="2"/>
  <c r="N375" i="2" a="1"/>
  <c r="O375" i="2"/>
  <c r="N376" i="2" a="1"/>
  <c r="O376" i="2"/>
  <c r="N377" i="2" a="1"/>
  <c r="O377" i="2"/>
  <c r="O60" i="2"/>
  <c r="O55" i="2"/>
  <c r="O64" i="2"/>
  <c r="O2" i="2"/>
  <c r="O62" i="2"/>
  <c r="O3" i="2"/>
  <c r="O12" i="2"/>
  <c r="O24" i="2"/>
  <c r="O37" i="2"/>
  <c r="O53" i="2"/>
  <c r="O22" i="2"/>
  <c r="O33" i="2"/>
  <c r="O52" i="2"/>
  <c r="O68" i="2"/>
  <c r="O70" i="2"/>
  <c r="O71" i="2"/>
  <c r="O75" i="2"/>
  <c r="O76" i="2"/>
  <c r="O74" i="2"/>
  <c r="O78" i="2"/>
  <c r="O77" i="2"/>
  <c r="O80" i="2"/>
  <c r="O82" i="2"/>
  <c r="O83" i="2"/>
  <c r="O86" i="2"/>
  <c r="O90" i="2"/>
  <c r="O91" i="2"/>
  <c r="O89" i="2"/>
  <c r="O93" i="2"/>
  <c r="O92" i="2"/>
  <c r="O96" i="2"/>
  <c r="O95" i="2"/>
  <c r="O99" i="2"/>
  <c r="O98" i="2"/>
  <c r="O102" i="2"/>
  <c r="O101" i="2"/>
  <c r="O105" i="2"/>
  <c r="O104" i="2"/>
  <c r="O107" i="2"/>
  <c r="O109" i="2"/>
  <c r="O111" i="2"/>
  <c r="O110" i="2"/>
  <c r="O114" i="2"/>
  <c r="O115" i="2"/>
  <c r="O113" i="2"/>
  <c r="O117" i="2"/>
  <c r="O118" i="2"/>
  <c r="O116" i="2"/>
  <c r="O120" i="2"/>
  <c r="O119" i="2"/>
  <c r="O125" i="2"/>
  <c r="O127" i="2"/>
  <c r="O128" i="2"/>
  <c r="O129" i="2"/>
  <c r="O130" i="2"/>
  <c r="O131" i="2"/>
  <c r="O133" i="2"/>
  <c r="O134" i="2"/>
  <c r="O136" i="2"/>
  <c r="O138" i="2"/>
  <c r="O137" i="2"/>
  <c r="O140" i="2"/>
  <c r="O142" i="2"/>
  <c r="O143" i="2"/>
  <c r="O145" i="2"/>
  <c r="O146" i="2"/>
  <c r="O148" i="2"/>
  <c r="O149" i="2"/>
  <c r="O151" i="2"/>
  <c r="O152" i="2"/>
  <c r="O154" i="2"/>
  <c r="O155" i="2"/>
  <c r="O157" i="2"/>
  <c r="O158" i="2"/>
  <c r="O160" i="2"/>
  <c r="O161" i="2"/>
  <c r="O163" i="2"/>
  <c r="O164" i="2"/>
  <c r="O166" i="2"/>
  <c r="O167" i="2"/>
  <c r="O169" i="2"/>
  <c r="O171" i="2"/>
  <c r="O170" i="2"/>
  <c r="O173" i="2"/>
  <c r="O175" i="2"/>
  <c r="O176" i="2"/>
  <c r="O178" i="2"/>
  <c r="O180" i="2"/>
  <c r="O179" i="2"/>
  <c r="O182" i="2"/>
  <c r="O184" i="2"/>
  <c r="O186" i="2"/>
  <c r="O185" i="2"/>
  <c r="O188" i="2"/>
  <c r="O190" i="2"/>
  <c r="O192" i="2"/>
  <c r="O191" i="2"/>
  <c r="O194" i="2"/>
  <c r="O196" i="2"/>
  <c r="O198" i="2"/>
  <c r="O197" i="2"/>
  <c r="O200" i="2"/>
  <c r="O202" i="2"/>
  <c r="O204" i="2"/>
  <c r="O203" i="2"/>
  <c r="O207" i="2"/>
  <c r="O206" i="2"/>
  <c r="O210" i="2"/>
  <c r="O209" i="2"/>
  <c r="O213" i="2"/>
  <c r="O212" i="2"/>
  <c r="O216" i="2"/>
  <c r="O215" i="2"/>
  <c r="O219" i="2"/>
  <c r="O218" i="2"/>
  <c r="O222" i="2"/>
  <c r="O221" i="2"/>
  <c r="O225" i="2"/>
  <c r="O224" i="2"/>
  <c r="O227" i="2"/>
  <c r="O229" i="2"/>
  <c r="O231" i="2"/>
  <c r="O230" i="2"/>
  <c r="O9" i="2"/>
  <c r="O23" i="2"/>
  <c r="O30" i="2"/>
  <c r="O49" i="2"/>
  <c r="O59" i="2"/>
  <c r="O5" i="2"/>
  <c r="O4" i="2"/>
  <c r="O18" i="2"/>
  <c r="O25" i="2"/>
  <c r="O45" i="2"/>
  <c r="O58" i="2"/>
  <c r="O6" i="2"/>
  <c r="O21" i="2"/>
  <c r="O27" i="2"/>
  <c r="O39" i="2"/>
  <c r="O15" i="2"/>
  <c r="O42" i="2"/>
  <c r="O56" i="2"/>
  <c r="N237" i="2" a="1"/>
  <c r="C80" i="5"/>
  <c r="N240" i="2" a="1"/>
  <c r="C81" i="5"/>
  <c r="N242" i="2" a="1"/>
  <c r="O308" i="2"/>
  <c r="O311" i="2"/>
  <c r="O315" i="2"/>
  <c r="O293" i="2"/>
  <c r="O323" i="2"/>
  <c r="O327" i="2"/>
  <c r="O348" i="2"/>
  <c r="O336" i="2"/>
  <c r="O300" i="2"/>
  <c r="O302" i="2"/>
  <c r="C82" i="5"/>
  <c r="O345" i="2"/>
  <c r="O357" i="2"/>
  <c r="O306" i="2"/>
  <c r="O330" i="2"/>
  <c r="O317" i="2"/>
  <c r="O297" i="2"/>
  <c r="O360" i="2"/>
  <c r="O351" i="2"/>
  <c r="O341" i="2"/>
  <c r="O333" i="2"/>
  <c r="O354" i="2"/>
  <c r="O339" i="2"/>
  <c r="O291" i="2"/>
  <c r="O321" i="2"/>
  <c r="N243" i="2" a="1"/>
  <c r="O312" i="2"/>
  <c r="O322" i="2"/>
  <c r="O307" i="2"/>
  <c r="O309" i="2"/>
  <c r="O337" i="2"/>
  <c r="O340" i="2"/>
  <c r="O328" i="2"/>
  <c r="O361" i="2"/>
  <c r="O316" i="2"/>
  <c r="O349" i="2"/>
  <c r="O346" i="2"/>
  <c r="O303" i="2"/>
  <c r="O298" i="2"/>
  <c r="O358" i="2"/>
  <c r="O355" i="2"/>
  <c r="O342" i="2"/>
  <c r="O352" i="2"/>
  <c r="O331" i="2"/>
  <c r="O294" i="2"/>
  <c r="O243" i="2"/>
  <c r="O292" i="2"/>
  <c r="O324" i="2"/>
  <c r="O318" i="2"/>
  <c r="O301" i="2"/>
  <c r="O334" i="2"/>
  <c r="O244" i="2"/>
  <c r="O295" i="2"/>
  <c r="O314" i="2"/>
  <c r="O326" i="2"/>
  <c r="O335" i="2"/>
  <c r="O353" i="2"/>
  <c r="O299" i="2"/>
  <c r="O313" i="2"/>
  <c r="O325" i="2"/>
  <c r="O338" i="2"/>
  <c r="O305" i="2"/>
  <c r="O310" i="2"/>
  <c r="O320" i="2"/>
  <c r="O332" i="2"/>
  <c r="O344" i="2"/>
  <c r="O359" i="2"/>
  <c r="O290" i="2"/>
  <c r="O304" i="2"/>
  <c r="O319" i="2"/>
  <c r="O329" i="2"/>
  <c r="O343" i="2"/>
  <c r="O347" i="2"/>
  <c r="O350" i="2"/>
  <c r="O356" i="2"/>
  <c r="O296" i="2"/>
  <c r="N245" i="2" a="1"/>
  <c r="O245" i="2"/>
  <c r="C83" i="5"/>
  <c r="N246" i="2" a="1"/>
  <c r="O246" i="2"/>
  <c r="N248" i="2" a="1"/>
  <c r="O248" i="2"/>
  <c r="C84" i="5"/>
  <c r="N249" i="2" a="1"/>
  <c r="O249" i="2"/>
  <c r="N251" i="2" a="1"/>
  <c r="O251" i="2"/>
  <c r="C85" i="5"/>
  <c r="N252" i="2" a="1"/>
  <c r="O252" i="2"/>
  <c r="N253" i="2" a="1"/>
  <c r="O253" i="2"/>
  <c r="D85" i="5"/>
  <c r="N254" i="2" a="1"/>
  <c r="O254" i="2"/>
  <c r="C86" i="5"/>
  <c r="N255" i="2" a="1"/>
  <c r="O255" i="2"/>
  <c r="N256" i="2" a="1"/>
  <c r="O256" i="2"/>
  <c r="D86" i="5"/>
  <c r="N257" i="2" a="1"/>
  <c r="O257" i="2"/>
  <c r="C87" i="5"/>
  <c r="N258" i="2" a="1"/>
  <c r="O258" i="2"/>
  <c r="N259" i="2" a="1"/>
  <c r="O259" i="2"/>
  <c r="D87" i="5"/>
  <c r="N261" i="2" a="1"/>
  <c r="O261" i="2"/>
  <c r="C88" i="5"/>
  <c r="N262" i="2" a="1"/>
  <c r="O262" i="2"/>
  <c r="N260" i="2" a="1"/>
  <c r="O260" i="2"/>
  <c r="D88" i="5"/>
  <c r="N263" i="2" a="1"/>
  <c r="O263" i="2"/>
  <c r="C89" i="5"/>
  <c r="N264" i="2" a="1"/>
  <c r="O264" i="2"/>
  <c r="N265" i="2" a="1"/>
  <c r="O265" i="2"/>
  <c r="D89" i="5"/>
  <c r="E89" i="5"/>
  <c r="F89" i="5"/>
  <c r="N266" i="2" a="1"/>
  <c r="O266" i="2"/>
  <c r="C90" i="5"/>
  <c r="N267" i="2" a="1"/>
  <c r="O267" i="2"/>
  <c r="N268" i="2" a="1"/>
  <c r="D90" i="5"/>
  <c r="O268" i="2"/>
  <c r="N269" i="2" a="1"/>
  <c r="O269" i="2"/>
  <c r="C91" i="5"/>
  <c r="N270" i="2" a="1"/>
  <c r="O270" i="2"/>
  <c r="N271" i="2" a="1"/>
  <c r="O271" i="2"/>
  <c r="D91" i="5"/>
  <c r="N272" i="2" a="1"/>
  <c r="O272" i="2"/>
  <c r="C92" i="5"/>
  <c r="N273" i="2" a="1"/>
  <c r="O273" i="2"/>
  <c r="N274" i="2" a="1"/>
  <c r="O274" i="2"/>
  <c r="D92" i="5"/>
  <c r="N276" i="2" a="1"/>
  <c r="O276" i="2"/>
  <c r="C93" i="5"/>
  <c r="N277" i="2" a="1"/>
  <c r="O277" i="2"/>
  <c r="N275" i="2" a="1"/>
  <c r="O275" i="2"/>
  <c r="D93" i="5"/>
  <c r="E93" i="5"/>
  <c r="F93" i="5"/>
  <c r="N278" i="2" a="1"/>
  <c r="C94" i="5"/>
  <c r="O278" i="2"/>
  <c r="N279" i="2" a="1"/>
  <c r="O279" i="2"/>
  <c r="N280" i="2" a="1"/>
  <c r="D94" i="5"/>
  <c r="O280" i="2"/>
  <c r="N281" i="2" a="1"/>
  <c r="C95" i="5"/>
  <c r="O281" i="2"/>
  <c r="N282" i="2" a="1"/>
  <c r="O282" i="2"/>
  <c r="N283" i="2" a="1"/>
  <c r="O283" i="2"/>
  <c r="D95" i="5"/>
  <c r="N284" i="2" a="1"/>
  <c r="C96" i="5"/>
  <c r="O284" i="2"/>
  <c r="N285" i="2" a="1"/>
  <c r="O285" i="2"/>
  <c r="N286" i="2" a="1"/>
  <c r="D96" i="5"/>
  <c r="E96" i="5"/>
  <c r="F96" i="5"/>
  <c r="O286" i="2"/>
  <c r="N288" i="2" a="1"/>
  <c r="C97" i="5"/>
  <c r="O288" i="2"/>
  <c r="N289" i="2" a="1"/>
  <c r="O289" i="2"/>
  <c r="N287" i="2" a="1"/>
  <c r="D97" i="5"/>
  <c r="E97" i="5"/>
  <c r="F97" i="5"/>
  <c r="O287" i="2"/>
  <c r="N602" i="2" a="1"/>
  <c r="O702" i="2"/>
  <c r="N603" i="2" a="1"/>
  <c r="O703" i="2"/>
  <c r="N604" i="2" a="1"/>
  <c r="O698" i="2"/>
  <c r="N648" i="2" a="1"/>
  <c r="O705" i="2"/>
  <c r="N658" i="2" a="1"/>
  <c r="O658" i="2"/>
  <c r="N661" i="2" a="1"/>
  <c r="O661" i="2"/>
  <c r="N662" i="2" a="1"/>
  <c r="O662" i="2"/>
  <c r="N663" i="2" a="1"/>
  <c r="O663" i="2"/>
  <c r="N664" i="2" a="1"/>
  <c r="O664" i="2"/>
  <c r="N665" i="2" a="1"/>
  <c r="O665" i="2"/>
  <c r="N666" i="2" a="1"/>
  <c r="O666" i="2"/>
  <c r="N667" i="2" a="1"/>
  <c r="O667" i="2"/>
  <c r="N669" i="2" a="1"/>
  <c r="O669" i="2"/>
  <c r="N670" i="2" a="1"/>
  <c r="O670" i="2"/>
  <c r="N668" i="2" a="1"/>
  <c r="O668" i="2"/>
  <c r="N671" i="2" a="1"/>
  <c r="O671" i="2"/>
  <c r="N672" i="2" a="1"/>
  <c r="O672" i="2"/>
  <c r="N673" i="2" a="1"/>
  <c r="O673" i="2"/>
  <c r="N675" i="2" a="1"/>
  <c r="O675" i="2"/>
  <c r="N676" i="2" a="1"/>
  <c r="O676" i="2"/>
  <c r="N674" i="2" a="1"/>
  <c r="O674" i="2"/>
  <c r="N678" i="2" a="1"/>
  <c r="O678" i="2"/>
  <c r="N679" i="2" a="1"/>
  <c r="O679" i="2"/>
  <c r="N677" i="2" a="1"/>
  <c r="O677" i="2"/>
  <c r="N681" i="2" a="1"/>
  <c r="O681" i="2"/>
  <c r="N682" i="2" a="1"/>
  <c r="O706" i="2"/>
  <c r="O682" i="2"/>
  <c r="N680" i="2" a="1"/>
  <c r="O680" i="2"/>
  <c r="N684" i="2" a="1"/>
  <c r="O684" i="2"/>
  <c r="N685" i="2" a="1"/>
  <c r="O685" i="2"/>
  <c r="N683" i="2" a="1"/>
  <c r="O683" i="2"/>
  <c r="N686" i="2" a="1"/>
  <c r="O686" i="2"/>
  <c r="N687" i="2" a="1"/>
  <c r="O687" i="2"/>
  <c r="N688" i="2" a="1"/>
  <c r="O688" i="2"/>
  <c r="N689" i="2" a="1"/>
  <c r="O689" i="2"/>
  <c r="N690" i="2" a="1"/>
  <c r="O690" i="2"/>
  <c r="N691" i="2" a="1"/>
  <c r="O691" i="2"/>
  <c r="N692" i="2" a="1"/>
  <c r="O692" i="2"/>
  <c r="N693" i="2" a="1"/>
  <c r="O693" i="2"/>
  <c r="N694" i="2" a="1"/>
  <c r="O694" i="2"/>
  <c r="N696" i="2" a="1"/>
  <c r="O696" i="2"/>
  <c r="N697" i="2" a="1"/>
  <c r="O697" i="2"/>
  <c r="N695" i="2" a="1"/>
  <c r="O695" i="2"/>
  <c r="N699" i="2" a="1"/>
  <c r="O699" i="2"/>
  <c r="N700" i="2" a="1"/>
  <c r="O700" i="2"/>
  <c r="E5" i="3"/>
  <c r="E6" i="3"/>
  <c r="E7" i="3"/>
  <c r="D3" i="5"/>
  <c r="O7" i="2"/>
  <c r="C4" i="5"/>
  <c r="O8" i="2"/>
  <c r="D4" i="5"/>
  <c r="E4" i="5"/>
  <c r="F4" i="5"/>
  <c r="O10" i="2"/>
  <c r="C5" i="5"/>
  <c r="O11" i="2"/>
  <c r="D5" i="5"/>
  <c r="E5" i="5"/>
  <c r="F5" i="5"/>
  <c r="O13" i="2"/>
  <c r="C6" i="5"/>
  <c r="O14" i="2"/>
  <c r="D6" i="5"/>
  <c r="O16" i="2"/>
  <c r="C7" i="5"/>
  <c r="O17" i="2"/>
  <c r="D7" i="5"/>
  <c r="O19" i="2"/>
  <c r="C8" i="5"/>
  <c r="O20" i="2"/>
  <c r="C10" i="5"/>
  <c r="O26" i="2"/>
  <c r="D10" i="5"/>
  <c r="O28" i="2"/>
  <c r="C11" i="5"/>
  <c r="O29" i="2"/>
  <c r="D11" i="5"/>
  <c r="O31" i="2"/>
  <c r="C12" i="5"/>
  <c r="O32" i="2"/>
  <c r="D12" i="5"/>
  <c r="E12" i="5"/>
  <c r="F12" i="5"/>
  <c r="O34" i="2"/>
  <c r="C13" i="5"/>
  <c r="O36" i="2"/>
  <c r="D13" i="5"/>
  <c r="O35" i="2"/>
  <c r="C14" i="5"/>
  <c r="O38" i="2"/>
  <c r="D14" i="5"/>
  <c r="E14" i="5"/>
  <c r="F14" i="5"/>
  <c r="O40" i="2"/>
  <c r="C15" i="5"/>
  <c r="O41" i="2"/>
  <c r="D15" i="5"/>
  <c r="O43" i="2"/>
  <c r="C16" i="5"/>
  <c r="O44" i="2"/>
  <c r="D16" i="5"/>
  <c r="O46" i="2"/>
  <c r="C17" i="5"/>
  <c r="O47" i="2"/>
  <c r="N48" i="2" a="1"/>
  <c r="O48" i="2"/>
  <c r="C18" i="5"/>
  <c r="O50" i="2"/>
  <c r="N51" i="2" a="1"/>
  <c r="O51" i="2"/>
  <c r="N54" i="2" a="1"/>
  <c r="O54" i="2"/>
  <c r="N57" i="2" a="1"/>
  <c r="O57" i="2"/>
  <c r="N61" i="2" a="1"/>
  <c r="O61" i="2"/>
  <c r="N63" i="2" a="1"/>
  <c r="O63" i="2"/>
  <c r="N67" i="2" a="1"/>
  <c r="O67" i="2"/>
  <c r="N69" i="2" a="1"/>
  <c r="O69" i="2"/>
  <c r="C25" i="5"/>
  <c r="O72" i="2"/>
  <c r="N73" i="2" a="1"/>
  <c r="O73" i="2"/>
  <c r="N79" i="2" a="1"/>
  <c r="O79" i="2"/>
  <c r="N81" i="2" a="1"/>
  <c r="O81" i="2"/>
  <c r="C29" i="5"/>
  <c r="O84" i="2"/>
  <c r="N85" i="2" a="1"/>
  <c r="O85" i="2"/>
  <c r="C30" i="5"/>
  <c r="O87" i="2"/>
  <c r="N88" i="2" a="1"/>
  <c r="O88" i="2"/>
  <c r="N94" i="2" a="1"/>
  <c r="O94" i="2"/>
  <c r="N97" i="2" a="1"/>
  <c r="O97" i="2"/>
  <c r="N100" i="2" a="1"/>
  <c r="O100" i="2"/>
  <c r="N103" i="2" a="1"/>
  <c r="O103" i="2"/>
  <c r="N106" i="2" a="1"/>
  <c r="O106" i="2"/>
  <c r="N108" i="2" a="1"/>
  <c r="O108" i="2"/>
  <c r="N112" i="2" a="1"/>
  <c r="O112" i="2"/>
  <c r="N121" i="2" a="1"/>
  <c r="O121" i="2"/>
  <c r="O122" i="2"/>
  <c r="O240" i="2"/>
  <c r="D5" i="3"/>
  <c r="O237" i="2"/>
  <c r="N123" i="2" a="1"/>
  <c r="O123" i="2"/>
  <c r="D6" i="3"/>
  <c r="O238" i="2"/>
  <c r="O235" i="2"/>
  <c r="O241" i="2"/>
  <c r="D42" i="5"/>
  <c r="O124" i="2"/>
  <c r="D7" i="3"/>
  <c r="O239" i="2"/>
  <c r="O233" i="2"/>
  <c r="O236" i="2"/>
  <c r="N126" i="2" a="1"/>
  <c r="O126" i="2"/>
  <c r="N132" i="2" a="1"/>
  <c r="O132" i="2"/>
  <c r="N135" i="2" a="1"/>
  <c r="O135" i="2"/>
  <c r="N139" i="2" a="1"/>
  <c r="O139" i="2"/>
  <c r="N141" i="2" a="1"/>
  <c r="O141" i="2"/>
  <c r="N144" i="2" a="1"/>
  <c r="O144" i="2"/>
  <c r="N147" i="2" a="1"/>
  <c r="O147" i="2"/>
  <c r="N150" i="2" a="1"/>
  <c r="O150" i="2"/>
  <c r="N153" i="2" a="1"/>
  <c r="O153" i="2"/>
  <c r="N156" i="2" a="1"/>
  <c r="O156" i="2"/>
  <c r="N159" i="2" a="1"/>
  <c r="O159" i="2"/>
  <c r="N162" i="2" a="1"/>
  <c r="O162" i="2"/>
  <c r="N165" i="2" a="1"/>
  <c r="O165" i="2"/>
  <c r="N168" i="2" a="1"/>
  <c r="O168" i="2"/>
  <c r="N172" i="2" a="1"/>
  <c r="O172" i="2"/>
  <c r="N174" i="2" a="1"/>
  <c r="O174" i="2"/>
  <c r="N177" i="2" a="1"/>
  <c r="O177" i="2"/>
  <c r="N181" i="2" a="1"/>
  <c r="O181" i="2"/>
  <c r="N183" i="2" a="1"/>
  <c r="O183" i="2"/>
  <c r="N187" i="2" a="1"/>
  <c r="O187" i="2"/>
  <c r="N189" i="2" a="1"/>
  <c r="O189" i="2"/>
  <c r="N193" i="2" a="1"/>
  <c r="O193" i="2"/>
  <c r="N195" i="2" a="1"/>
  <c r="O195" i="2"/>
  <c r="N199" i="2" a="1"/>
  <c r="O199" i="2"/>
  <c r="N201" i="2" a="1"/>
  <c r="O201" i="2"/>
  <c r="N205" i="2" a="1"/>
  <c r="O205" i="2"/>
  <c r="N208" i="2" a="1"/>
  <c r="O208" i="2"/>
  <c r="N211" i="2" a="1"/>
  <c r="O211" i="2"/>
  <c r="N214" i="2" a="1"/>
  <c r="O214" i="2"/>
  <c r="N217" i="2" a="1"/>
  <c r="O217" i="2"/>
  <c r="N220" i="2" a="1"/>
  <c r="O220" i="2"/>
  <c r="N223" i="2" a="1"/>
  <c r="O223" i="2"/>
  <c r="N226" i="2" a="1"/>
  <c r="O226" i="2"/>
  <c r="N228" i="2" a="1"/>
  <c r="O228" i="2"/>
  <c r="N232" i="2" a="1"/>
  <c r="O232" i="2"/>
  <c r="N234" i="2" a="1"/>
  <c r="C79" i="5"/>
  <c r="O234" i="2"/>
  <c r="N348" i="2" a="1"/>
  <c r="O242" i="2"/>
  <c r="N362" i="2" a="1"/>
  <c r="O449" i="2"/>
  <c r="N363" i="2" a="1"/>
  <c r="O450" i="2"/>
  <c r="N364" i="2" a="1"/>
  <c r="O451" i="2"/>
  <c r="O446" i="2"/>
  <c r="N422" i="2" a="1"/>
  <c r="O422" i="2"/>
  <c r="N423" i="2" a="1"/>
  <c r="O423" i="2"/>
  <c r="N424" i="2" a="1"/>
  <c r="O424" i="2"/>
  <c r="N426" i="2" a="1"/>
  <c r="O426" i="2"/>
  <c r="N427" i="2" a="1"/>
  <c r="O427" i="2"/>
  <c r="N425" i="2" a="1"/>
  <c r="O425" i="2"/>
  <c r="N429" i="2" a="1"/>
  <c r="O429" i="2"/>
  <c r="N430" i="2" a="1"/>
  <c r="O430" i="2"/>
  <c r="N428" i="2" a="1"/>
  <c r="O428" i="2"/>
  <c r="N432" i="2" a="1"/>
  <c r="O432" i="2"/>
  <c r="N433" i="2" a="1"/>
  <c r="O433" i="2"/>
  <c r="N431" i="2" a="1"/>
  <c r="O431" i="2"/>
  <c r="N434" i="2" a="1"/>
  <c r="O434" i="2"/>
  <c r="O453" i="2"/>
  <c r="N435" i="2" a="1"/>
  <c r="O435" i="2"/>
  <c r="N436" i="2" a="1"/>
  <c r="O436" i="2"/>
  <c r="N437" i="2" a="1"/>
  <c r="O437" i="2"/>
  <c r="N438" i="2" a="1"/>
  <c r="O438" i="2"/>
  <c r="N439" i="2" a="1"/>
  <c r="O439" i="2"/>
  <c r="N441" i="2" a="1"/>
  <c r="O441" i="2"/>
  <c r="N442" i="2" a="1"/>
  <c r="O442" i="2"/>
  <c r="N440" i="2" a="1"/>
  <c r="O440" i="2"/>
  <c r="N444" i="2" a="1"/>
  <c r="O444" i="2"/>
  <c r="N445" i="2" a="1"/>
  <c r="O445" i="2"/>
  <c r="N443" i="2" a="1"/>
  <c r="O443" i="2"/>
  <c r="N447" i="2" a="1"/>
  <c r="O447" i="2"/>
  <c r="N448" i="2" a="1"/>
  <c r="O454" i="2"/>
  <c r="O448" i="2"/>
  <c r="N607" i="2" a="1"/>
  <c r="D203" i="5"/>
  <c r="E203" i="5"/>
  <c r="F203" i="5"/>
  <c r="N610" i="2" a="1"/>
  <c r="D204" i="5"/>
  <c r="E204" i="5"/>
  <c r="F204" i="5"/>
  <c r="N613" i="2" a="1"/>
  <c r="D205" i="5"/>
  <c r="E205" i="5"/>
  <c r="F205" i="5"/>
  <c r="N643" i="2" a="1"/>
  <c r="D215" i="5"/>
  <c r="E215" i="5"/>
  <c r="F215" i="5"/>
  <c r="N646" i="2" a="1"/>
  <c r="D216" i="5"/>
  <c r="E216" i="5"/>
  <c r="F216" i="5"/>
  <c r="N647" i="2" a="1"/>
  <c r="D217" i="5"/>
  <c r="E217" i="5"/>
  <c r="F217" i="5"/>
  <c r="N650" i="2" a="1"/>
  <c r="D218" i="5"/>
  <c r="E218" i="5"/>
  <c r="F218" i="5"/>
  <c r="N653" i="2" a="1"/>
  <c r="D219" i="5"/>
  <c r="E219" i="5"/>
  <c r="F219" i="5"/>
  <c r="N656" i="2" a="1"/>
  <c r="D220" i="5"/>
  <c r="E220" i="5"/>
  <c r="F220" i="5"/>
  <c r="N659" i="2" a="1"/>
  <c r="D221" i="5"/>
  <c r="E221" i="5"/>
  <c r="F221" i="5"/>
  <c r="E2" i="3"/>
  <c r="D3" i="3"/>
  <c r="E125" i="5"/>
  <c r="F125" i="5"/>
  <c r="E137" i="5"/>
  <c r="F137" i="5"/>
  <c r="E141" i="5"/>
  <c r="F141" i="5"/>
  <c r="E145" i="5"/>
  <c r="F145" i="5"/>
  <c r="E150" i="5"/>
  <c r="F150" i="5"/>
  <c r="E153" i="5"/>
  <c r="F153" i="5"/>
  <c r="E156" i="5"/>
  <c r="F156" i="5"/>
  <c r="E159" i="5"/>
  <c r="F159" i="5"/>
  <c r="E163" i="5"/>
  <c r="F163" i="5"/>
  <c r="E167" i="5"/>
  <c r="F167" i="5"/>
  <c r="E175" i="5"/>
  <c r="F175" i="5"/>
  <c r="E183" i="5"/>
  <c r="F183" i="5"/>
  <c r="E187" i="5"/>
  <c r="F187" i="5"/>
  <c r="E195" i="5"/>
  <c r="F195" i="5"/>
  <c r="E199" i="5"/>
  <c r="F199" i="5"/>
  <c r="E3" i="3"/>
  <c r="E222" i="5"/>
  <c r="F222" i="5"/>
  <c r="E223" i="5"/>
  <c r="F223" i="5"/>
  <c r="E224" i="5"/>
  <c r="F224" i="5"/>
  <c r="E225" i="5"/>
  <c r="F225" i="5"/>
  <c r="E226" i="5"/>
  <c r="F226" i="5"/>
  <c r="E227" i="5"/>
  <c r="F227" i="5"/>
  <c r="E228" i="5"/>
  <c r="F228" i="5"/>
  <c r="E229" i="5"/>
  <c r="F229" i="5"/>
  <c r="E230" i="5"/>
  <c r="F230" i="5"/>
  <c r="E231" i="5"/>
  <c r="F231" i="5"/>
  <c r="E232" i="5"/>
  <c r="F232" i="5"/>
  <c r="E233" i="5"/>
  <c r="F233" i="5"/>
  <c r="E4" i="3"/>
  <c r="E123" i="5"/>
  <c r="F123" i="5"/>
  <c r="E139" i="5"/>
  <c r="F139" i="5"/>
  <c r="E144" i="5"/>
  <c r="F144" i="5"/>
  <c r="E149" i="5"/>
  <c r="F149" i="5"/>
  <c r="E157" i="5"/>
  <c r="F157" i="5"/>
  <c r="E161" i="5"/>
  <c r="F161" i="5"/>
  <c r="E165" i="5"/>
  <c r="F165" i="5"/>
  <c r="E177" i="5"/>
  <c r="F177" i="5"/>
  <c r="E184" i="5"/>
  <c r="F184" i="5"/>
  <c r="E189" i="5"/>
  <c r="F189" i="5"/>
  <c r="E193" i="5"/>
  <c r="F193" i="5"/>
  <c r="E196" i="5"/>
  <c r="F196" i="5"/>
  <c r="E201" i="5"/>
  <c r="F201" i="5"/>
  <c r="E124" i="5"/>
  <c r="F124" i="5"/>
  <c r="E140" i="5"/>
  <c r="F140" i="5"/>
  <c r="E143" i="5"/>
  <c r="F143" i="5"/>
  <c r="E148" i="5"/>
  <c r="F148" i="5"/>
  <c r="E155" i="5"/>
  <c r="F155" i="5"/>
  <c r="E160" i="5"/>
  <c r="F160" i="5"/>
  <c r="E164" i="5"/>
  <c r="F164" i="5"/>
  <c r="E173" i="5"/>
  <c r="F173" i="5"/>
  <c r="E176" i="5"/>
  <c r="F176" i="5"/>
  <c r="E185" i="5"/>
  <c r="F185" i="5"/>
  <c r="E188" i="5"/>
  <c r="F188" i="5"/>
  <c r="E197" i="5"/>
  <c r="F197" i="5"/>
  <c r="E122" i="5"/>
  <c r="F122" i="5"/>
  <c r="E138" i="5"/>
  <c r="F138" i="5"/>
  <c r="E142" i="5"/>
  <c r="F142" i="5"/>
  <c r="E146" i="5"/>
  <c r="F146" i="5"/>
  <c r="E147" i="5"/>
  <c r="F147" i="5"/>
  <c r="E154" i="5"/>
  <c r="F154" i="5"/>
  <c r="E158" i="5"/>
  <c r="F158" i="5"/>
  <c r="E166" i="5"/>
  <c r="F166" i="5"/>
  <c r="E174" i="5"/>
  <c r="F174" i="5"/>
  <c r="E182" i="5"/>
  <c r="F182" i="5"/>
  <c r="E186" i="5"/>
  <c r="F186" i="5"/>
  <c r="E194" i="5"/>
  <c r="F194" i="5"/>
  <c r="E198" i="5"/>
  <c r="F198" i="5"/>
  <c r="E200" i="5"/>
  <c r="F200" i="5"/>
  <c r="D4" i="3"/>
  <c r="D2" i="5"/>
  <c r="C3" i="5"/>
  <c r="D2" i="3"/>
  <c r="N230" i="2" a="1"/>
  <c r="D78" i="5"/>
  <c r="N233" i="2" a="1"/>
  <c r="D79" i="5"/>
  <c r="N236" i="2" a="1"/>
  <c r="D80" i="5"/>
  <c r="N239" i="2" a="1"/>
  <c r="D81" i="5"/>
  <c r="N244" i="2" a="1"/>
  <c r="D82" i="5"/>
  <c r="N247" i="2" a="1"/>
  <c r="D83" i="5"/>
  <c r="N250" i="2" a="1"/>
  <c r="D84" i="5"/>
  <c r="N616" i="2" a="1"/>
  <c r="D206" i="5"/>
  <c r="E206" i="5"/>
  <c r="F206" i="5"/>
  <c r="N619" i="2" a="1"/>
  <c r="D207" i="5"/>
  <c r="E207" i="5"/>
  <c r="F207" i="5"/>
  <c r="N620" i="2" a="1"/>
  <c r="D208" i="5"/>
  <c r="E208" i="5"/>
  <c r="F208" i="5"/>
  <c r="N625" i="2" a="1"/>
  <c r="D209" i="5"/>
  <c r="E209" i="5"/>
  <c r="F209" i="5"/>
  <c r="N628" i="2" a="1"/>
  <c r="D210" i="5"/>
  <c r="N631" i="2" a="1"/>
  <c r="D211" i="5"/>
  <c r="N634" i="2" a="1"/>
  <c r="D212" i="5"/>
  <c r="E212" i="5"/>
  <c r="F212" i="5"/>
  <c r="N637" i="2" a="1"/>
  <c r="D213" i="5"/>
  <c r="N638" i="2" a="1"/>
  <c r="D214" i="5"/>
  <c r="N21" i="2" a="1"/>
  <c r="N22" i="2" a="1"/>
  <c r="D8" i="5"/>
  <c r="N23" i="2" a="1"/>
  <c r="C9" i="5"/>
  <c r="N25" i="2" a="1"/>
  <c r="D9" i="5"/>
  <c r="N49" i="2" a="1"/>
  <c r="D17" i="5"/>
  <c r="N52" i="2" a="1"/>
  <c r="D18" i="5"/>
  <c r="N53" i="2" a="1"/>
  <c r="C19" i="5"/>
  <c r="N55" i="2" a="1"/>
  <c r="D19" i="5"/>
  <c r="E19" i="5"/>
  <c r="F19" i="5"/>
  <c r="N56" i="2" a="1"/>
  <c r="C20" i="5"/>
  <c r="N58" i="2" a="1"/>
  <c r="D20" i="5"/>
  <c r="N60" i="2" a="1"/>
  <c r="C21" i="5"/>
  <c r="N59" i="2" a="1"/>
  <c r="D21" i="5"/>
  <c r="N62" i="2" a="1"/>
  <c r="C22" i="5"/>
  <c r="N64" i="2" a="1"/>
  <c r="D22" i="5"/>
  <c r="N66" i="2" a="1"/>
  <c r="C23" i="5"/>
  <c r="N65" i="2" a="1"/>
  <c r="D23" i="5"/>
  <c r="N68" i="2" a="1"/>
  <c r="C24" i="5"/>
  <c r="N70" i="2" a="1"/>
  <c r="D24" i="5"/>
  <c r="N71" i="2" a="1"/>
  <c r="D25" i="5"/>
  <c r="N75" i="2" a="1"/>
  <c r="C26" i="5"/>
  <c r="N74" i="2" a="1"/>
  <c r="D26" i="5"/>
  <c r="E26" i="5"/>
  <c r="F26" i="5"/>
  <c r="N78" i="2" a="1"/>
  <c r="C27" i="5"/>
  <c r="N77" i="2" a="1"/>
  <c r="D27" i="5"/>
  <c r="N80" i="2" a="1"/>
  <c r="C28" i="5"/>
  <c r="N82" i="2" a="1"/>
  <c r="D28" i="5"/>
  <c r="N83" i="2" a="1"/>
  <c r="D29" i="5"/>
  <c r="N86" i="2" a="1"/>
  <c r="D30" i="5"/>
  <c r="N90" i="2" a="1"/>
  <c r="C31" i="5"/>
  <c r="N89" i="2" a="1"/>
  <c r="D31" i="5"/>
  <c r="E31" i="5"/>
  <c r="F31" i="5"/>
  <c r="N93" i="2" a="1"/>
  <c r="C32" i="5"/>
  <c r="N92" i="2" a="1"/>
  <c r="D32" i="5"/>
  <c r="E32" i="5"/>
  <c r="F32" i="5"/>
  <c r="N96" i="2" a="1"/>
  <c r="C33" i="5"/>
  <c r="N95" i="2" a="1"/>
  <c r="D33" i="5"/>
  <c r="N99" i="2" a="1"/>
  <c r="C34" i="5"/>
  <c r="N98" i="2" a="1"/>
  <c r="D34" i="5"/>
  <c r="N102" i="2" a="1"/>
  <c r="C35" i="5"/>
  <c r="N101" i="2" a="1"/>
  <c r="D35" i="5"/>
  <c r="N105" i="2" a="1"/>
  <c r="C36" i="5"/>
  <c r="N104" i="2" a="1"/>
  <c r="D36" i="5"/>
  <c r="N107" i="2" a="1"/>
  <c r="C37" i="5"/>
  <c r="N109" i="2" a="1"/>
  <c r="D37" i="5"/>
  <c r="N111" i="2" a="1"/>
  <c r="C38" i="5"/>
  <c r="N110" i="2" a="1"/>
  <c r="D38" i="5"/>
  <c r="E38" i="5"/>
  <c r="F38" i="5"/>
  <c r="N114" i="2" a="1"/>
  <c r="C39" i="5"/>
  <c r="N113" i="2" a="1"/>
  <c r="D39" i="5"/>
  <c r="N117" i="2" a="1"/>
  <c r="C40" i="5"/>
  <c r="N116" i="2" a="1"/>
  <c r="D40" i="5"/>
  <c r="N120" i="2" a="1"/>
  <c r="C41" i="5"/>
  <c r="N119" i="2" a="1"/>
  <c r="D41" i="5"/>
  <c r="N122" i="2" a="1"/>
  <c r="C42" i="5"/>
  <c r="N125" i="2" a="1"/>
  <c r="C43" i="5"/>
  <c r="N127" i="2" a="1"/>
  <c r="D43" i="5"/>
  <c r="N128" i="2" a="1"/>
  <c r="C44" i="5"/>
  <c r="N130" i="2" a="1"/>
  <c r="D44" i="5"/>
  <c r="N131" i="2" a="1"/>
  <c r="C45" i="5"/>
  <c r="N133" i="2" a="1"/>
  <c r="D45" i="5"/>
  <c r="N134" i="2" a="1"/>
  <c r="C46" i="5"/>
  <c r="N136" i="2" a="1"/>
  <c r="D46" i="5"/>
  <c r="N138" i="2" a="1"/>
  <c r="C47" i="5"/>
  <c r="N137" i="2" a="1"/>
  <c r="D47" i="5"/>
  <c r="N140" i="2" a="1"/>
  <c r="C48" i="5"/>
  <c r="N142" i="2" a="1"/>
  <c r="D48" i="5"/>
  <c r="N143" i="2" a="1"/>
  <c r="C49" i="5"/>
  <c r="N145" i="2" a="1"/>
  <c r="D49" i="5"/>
  <c r="N146" i="2" a="1"/>
  <c r="C50" i="5"/>
  <c r="N148" i="2" a="1"/>
  <c r="D50" i="5"/>
  <c r="E50" i="5"/>
  <c r="F50" i="5"/>
  <c r="N149" i="2" a="1"/>
  <c r="C51" i="5"/>
  <c r="N151" i="2" a="1"/>
  <c r="D51" i="5"/>
  <c r="E51" i="5"/>
  <c r="F51" i="5"/>
  <c r="N152" i="2" a="1"/>
  <c r="C52" i="5"/>
  <c r="N154" i="2" a="1"/>
  <c r="D52" i="5"/>
  <c r="E52" i="5"/>
  <c r="F52" i="5"/>
  <c r="N155" i="2" a="1"/>
  <c r="C53" i="5"/>
  <c r="N157" i="2" a="1"/>
  <c r="D53" i="5"/>
  <c r="E53" i="5"/>
  <c r="F53" i="5"/>
  <c r="N158" i="2" a="1"/>
  <c r="C54" i="5"/>
  <c r="N160" i="2" a="1"/>
  <c r="D54" i="5"/>
  <c r="E54" i="5"/>
  <c r="F54" i="5"/>
  <c r="N161" i="2" a="1"/>
  <c r="C55" i="5"/>
  <c r="N163" i="2" a="1"/>
  <c r="D55" i="5"/>
  <c r="E55" i="5"/>
  <c r="F55" i="5"/>
  <c r="N164" i="2" a="1"/>
  <c r="C56" i="5"/>
  <c r="N166" i="2" a="1"/>
  <c r="D56" i="5"/>
  <c r="E56" i="5"/>
  <c r="F56" i="5"/>
  <c r="N167" i="2" a="1"/>
  <c r="C57" i="5"/>
  <c r="N169" i="2" a="1"/>
  <c r="D57" i="5"/>
  <c r="E57" i="5"/>
  <c r="F57" i="5"/>
  <c r="N171" i="2" a="1"/>
  <c r="C58" i="5"/>
  <c r="N170" i="2" a="1"/>
  <c r="D58" i="5"/>
  <c r="E58" i="5"/>
  <c r="F58" i="5"/>
  <c r="N173" i="2" a="1"/>
  <c r="C59" i="5"/>
  <c r="N175" i="2" a="1"/>
  <c r="D59" i="5"/>
  <c r="N176" i="2" a="1"/>
  <c r="C60" i="5"/>
  <c r="N178" i="2" a="1"/>
  <c r="D60" i="5"/>
  <c r="N180" i="2" a="1"/>
  <c r="C61" i="5"/>
  <c r="N179" i="2" a="1"/>
  <c r="D61" i="5"/>
  <c r="E61" i="5"/>
  <c r="F61" i="5"/>
  <c r="N182" i="2" a="1"/>
  <c r="C62" i="5"/>
  <c r="N184" i="2" a="1"/>
  <c r="D62" i="5"/>
  <c r="N186" i="2" a="1"/>
  <c r="C63" i="5"/>
  <c r="N185" i="2" a="1"/>
  <c r="D63" i="5"/>
  <c r="N188" i="2" a="1"/>
  <c r="C64" i="5"/>
  <c r="N190" i="2" a="1"/>
  <c r="D64" i="5"/>
  <c r="E64" i="5"/>
  <c r="F64" i="5"/>
  <c r="N192" i="2" a="1"/>
  <c r="C65" i="5"/>
  <c r="N191" i="2" a="1"/>
  <c r="D65" i="5"/>
  <c r="N194" i="2" a="1"/>
  <c r="C66" i="5"/>
  <c r="N196" i="2" a="1"/>
  <c r="D66" i="5"/>
  <c r="E66" i="5"/>
  <c r="F66" i="5"/>
  <c r="N198" i="2" a="1"/>
  <c r="C67" i="5"/>
  <c r="N197" i="2" a="1"/>
  <c r="D67" i="5"/>
  <c r="N200" i="2" a="1"/>
  <c r="C68" i="5"/>
  <c r="N202" i="2" a="1"/>
  <c r="D68" i="5"/>
  <c r="E68" i="5"/>
  <c r="F68" i="5"/>
  <c r="N204" i="2" a="1"/>
  <c r="C69" i="5"/>
  <c r="N203" i="2" a="1"/>
  <c r="D69" i="5"/>
  <c r="N207" i="2" a="1"/>
  <c r="C70" i="5"/>
  <c r="N206" i="2" a="1"/>
  <c r="D70" i="5"/>
  <c r="E70" i="5"/>
  <c r="F70" i="5"/>
  <c r="N210" i="2" a="1"/>
  <c r="C71" i="5"/>
  <c r="N209" i="2" a="1"/>
  <c r="D71" i="5"/>
  <c r="E71" i="5"/>
  <c r="F71" i="5"/>
  <c r="N213" i="2" a="1"/>
  <c r="C72" i="5"/>
  <c r="N212" i="2" a="1"/>
  <c r="D72" i="5"/>
  <c r="N216" i="2" a="1"/>
  <c r="C73" i="5"/>
  <c r="N215" i="2" a="1"/>
  <c r="D73" i="5"/>
  <c r="E73" i="5"/>
  <c r="F73" i="5"/>
  <c r="N219" i="2" a="1"/>
  <c r="C74" i="5"/>
  <c r="N218" i="2" a="1"/>
  <c r="D74" i="5"/>
  <c r="E74" i="5"/>
  <c r="F74" i="5"/>
  <c r="N222" i="2" a="1"/>
  <c r="C75" i="5"/>
  <c r="N221" i="2" a="1"/>
  <c r="D75" i="5"/>
  <c r="N225" i="2" a="1"/>
  <c r="C76" i="5"/>
  <c r="N224" i="2" a="1"/>
  <c r="D76" i="5"/>
  <c r="N227" i="2" a="1"/>
  <c r="C77" i="5"/>
  <c r="N229" i="2" a="1"/>
  <c r="D77" i="5"/>
  <c r="E77" i="5"/>
  <c r="F77" i="5"/>
  <c r="N231" i="2" a="1"/>
  <c r="C78" i="5"/>
  <c r="N399" i="2" a="1"/>
  <c r="C134" i="5"/>
  <c r="E134" i="5"/>
  <c r="F134" i="5"/>
  <c r="N401" i="2" a="1"/>
  <c r="C135" i="5"/>
  <c r="E135" i="5"/>
  <c r="F135" i="5"/>
  <c r="N404" i="2" a="1"/>
  <c r="C136" i="5"/>
  <c r="E136" i="5"/>
  <c r="F136" i="5"/>
  <c r="N26" i="2" a="1"/>
  <c r="N27" i="2" a="1"/>
  <c r="N28" i="2" a="1"/>
  <c r="N30" i="2" a="1"/>
  <c r="N32" i="2" a="1"/>
  <c r="N33" i="2" a="1"/>
  <c r="N34" i="2" a="1"/>
  <c r="N36" i="2" a="1"/>
  <c r="N37" i="2" a="1"/>
  <c r="N35" i="2" a="1"/>
  <c r="N38" i="2" a="1"/>
  <c r="N39" i="2" a="1"/>
  <c r="N40" i="2" a="1"/>
  <c r="N41" i="2" a="1"/>
  <c r="N42" i="2" a="1"/>
  <c r="N43" i="2" a="1"/>
  <c r="N44" i="2" a="1"/>
  <c r="N45" i="2" a="1"/>
  <c r="N46" i="2" a="1"/>
  <c r="N47" i="2" a="1"/>
  <c r="S7" i="2" a="1"/>
  <c r="S12" i="2" a="1"/>
  <c r="S8" i="2" a="1"/>
  <c r="S10" i="2" a="1"/>
  <c r="S6" i="2" a="1"/>
  <c r="S13" i="2" a="1"/>
  <c r="S5" i="2" a="1"/>
  <c r="S9" i="2" a="1"/>
  <c r="S4" i="2" a="1"/>
  <c r="Q4" i="2" a="1"/>
  <c r="R4" i="2" a="1"/>
  <c r="S11" i="2" a="1"/>
  <c r="N5" i="2" a="1"/>
  <c r="N6" i="2" a="1"/>
  <c r="N7" i="2" a="1"/>
  <c r="N8" i="2" a="1"/>
  <c r="N9" i="2" a="1"/>
  <c r="N10" i="2" a="1"/>
  <c r="N11" i="2" a="1"/>
  <c r="N12" i="2" a="1"/>
  <c r="N13" i="2" a="1"/>
  <c r="N14" i="2" a="1"/>
  <c r="N15" i="2" a="1"/>
  <c r="N16" i="2" a="1"/>
  <c r="N17" i="2" a="1"/>
  <c r="N18" i="2" a="1"/>
  <c r="N19" i="2" a="1"/>
  <c r="N20" i="2" a="1"/>
  <c r="N24" i="2" a="1"/>
  <c r="N29" i="2" a="1"/>
  <c r="N31" i="2" a="1"/>
  <c r="N87" i="2" a="1"/>
  <c r="N115" i="2" a="1"/>
  <c r="N118" i="2" a="1"/>
  <c r="N124" i="2" a="1"/>
  <c r="N129" i="2" a="1"/>
  <c r="N4" i="2" a="1"/>
  <c r="N50" i="2" a="1"/>
  <c r="N72" i="2" a="1"/>
  <c r="N660" i="2" a="1"/>
  <c r="N2" i="2" a="1"/>
  <c r="N473" i="2" a="1"/>
  <c r="N3" i="2" a="1"/>
  <c r="N76" i="2" a="1"/>
  <c r="N84" i="2" a="1"/>
  <c r="N91" i="2" a="1"/>
  <c r="E107" i="5"/>
  <c r="F107" i="5"/>
  <c r="E127" i="5"/>
  <c r="F127" i="5"/>
  <c r="E236" i="5"/>
  <c r="F236" i="5"/>
  <c r="E130" i="5"/>
  <c r="F130" i="5"/>
  <c r="E210" i="5"/>
  <c r="F210" i="5"/>
  <c r="E211" i="5"/>
  <c r="F211" i="5"/>
  <c r="E213" i="5"/>
  <c r="F213" i="5"/>
  <c r="E214" i="5"/>
  <c r="F214" i="5"/>
  <c r="E91" i="5"/>
  <c r="F91" i="5"/>
  <c r="E92" i="5"/>
  <c r="F92" i="5"/>
  <c r="E7" i="5"/>
  <c r="F7" i="5"/>
  <c r="E67" i="5"/>
  <c r="F67" i="5"/>
  <c r="E88" i="5"/>
  <c r="F88" i="5"/>
  <c r="E94" i="5"/>
  <c r="F94" i="5"/>
  <c r="E63" i="5"/>
  <c r="F63" i="5"/>
  <c r="E85" i="5"/>
  <c r="F85" i="5"/>
  <c r="E86" i="5"/>
  <c r="F86" i="5"/>
  <c r="E75" i="5"/>
  <c r="F75" i="5"/>
  <c r="E69" i="5"/>
  <c r="F69" i="5"/>
  <c r="E33" i="5"/>
  <c r="F33" i="5"/>
  <c r="E11" i="5"/>
  <c r="F11" i="5"/>
  <c r="E15" i="5"/>
  <c r="F15" i="5"/>
  <c r="E28" i="5"/>
  <c r="F28" i="5"/>
  <c r="E62" i="5"/>
  <c r="F62" i="5"/>
  <c r="E65" i="5"/>
  <c r="F65" i="5"/>
  <c r="E24" i="5"/>
  <c r="F24" i="5"/>
  <c r="E36" i="5"/>
  <c r="F36" i="5"/>
  <c r="E34" i="5"/>
  <c r="F34" i="5"/>
  <c r="E90" i="5"/>
  <c r="F90" i="5"/>
  <c r="E47" i="5"/>
  <c r="F47" i="5"/>
  <c r="E49" i="5"/>
  <c r="F49" i="5"/>
  <c r="E72" i="5"/>
  <c r="F72" i="5"/>
  <c r="E76" i="5"/>
  <c r="F76" i="5"/>
  <c r="E37" i="5"/>
  <c r="F37" i="5"/>
  <c r="E45" i="5"/>
  <c r="F45" i="5"/>
  <c r="E6" i="5"/>
  <c r="F6" i="5"/>
  <c r="E9" i="5"/>
  <c r="F9" i="5"/>
  <c r="E20" i="5"/>
  <c r="F20" i="5"/>
  <c r="E35" i="5"/>
  <c r="F35" i="5"/>
  <c r="E43" i="5"/>
  <c r="F43" i="5"/>
  <c r="E39" i="5"/>
  <c r="F39" i="5"/>
  <c r="E87" i="5"/>
  <c r="F87" i="5"/>
  <c r="E13" i="5"/>
  <c r="F13" i="5"/>
  <c r="E46" i="5"/>
  <c r="F46" i="5"/>
  <c r="E78" i="5"/>
  <c r="F78" i="5"/>
  <c r="E16" i="5"/>
  <c r="F16" i="5"/>
  <c r="E21" i="5"/>
  <c r="F21" i="5"/>
  <c r="E95" i="5"/>
  <c r="F95" i="5"/>
  <c r="E22" i="5"/>
  <c r="F22" i="5"/>
  <c r="E10" i="5"/>
  <c r="F10" i="5"/>
  <c r="E41" i="5"/>
  <c r="F41" i="5"/>
  <c r="E48" i="5"/>
  <c r="F48" i="5"/>
  <c r="E59" i="5"/>
  <c r="F59" i="5"/>
  <c r="E80" i="5"/>
  <c r="F80" i="5"/>
  <c r="E82" i="5"/>
  <c r="F82" i="5"/>
  <c r="E84" i="5"/>
  <c r="F84" i="5"/>
  <c r="E8" i="5"/>
  <c r="F8" i="5"/>
  <c r="E18" i="5"/>
  <c r="F18" i="5"/>
  <c r="E3" i="5"/>
  <c r="F3" i="5"/>
  <c r="E81" i="5"/>
  <c r="F81" i="5"/>
  <c r="E83" i="5"/>
  <c r="F83" i="5"/>
  <c r="E17" i="5"/>
  <c r="F17" i="5"/>
  <c r="E23" i="5"/>
  <c r="F23" i="5"/>
  <c r="E25" i="5"/>
  <c r="F25" i="5"/>
  <c r="E44" i="5"/>
  <c r="F44" i="5"/>
  <c r="E27" i="5"/>
  <c r="F27" i="5"/>
  <c r="E29" i="5"/>
  <c r="F29" i="5"/>
  <c r="E30" i="5"/>
  <c r="F30" i="5"/>
  <c r="E42" i="5"/>
  <c r="F42" i="5"/>
  <c r="E60" i="5"/>
  <c r="F60" i="5"/>
  <c r="E79" i="5"/>
  <c r="F79" i="5"/>
  <c r="E40" i="5"/>
  <c r="F40" i="5"/>
  <c r="Q5" i="2" a="1"/>
  <c r="R5" i="2" a="1"/>
  <c r="H29" i="5"/>
  <c r="H25" i="5"/>
  <c r="H27" i="5"/>
  <c r="Q6" i="2" a="1"/>
  <c r="Q7" i="2" a="1"/>
  <c r="R6" i="2" a="1"/>
  <c r="R7" i="2" a="1"/>
  <c r="Q8" i="2" a="1"/>
  <c r="R8" i="2" a="1"/>
  <c r="Q9" i="2" a="1"/>
  <c r="Q10" i="2" a="1"/>
  <c r="R9" i="2" a="1"/>
  <c r="R10" i="2" a="1"/>
  <c r="Q11" i="2" a="1"/>
  <c r="R11" i="2" a="1"/>
  <c r="Q12" i="2" a="1"/>
  <c r="R12" i="2" a="1"/>
  <c r="Q13" i="2" a="1"/>
  <c r="R13"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<sst xmlns="http://schemas.openxmlformats.org/spreadsheetml/2006/main" count="7768" uniqueCount="727">
  <si>
    <t>Student ID</t>
  </si>
  <si>
    <t>Student Name</t>
  </si>
  <si>
    <t>Gender</t>
  </si>
  <si>
    <t>Class</t>
  </si>
  <si>
    <t>Term</t>
  </si>
  <si>
    <t>Maths</t>
  </si>
  <si>
    <t>English</t>
  </si>
  <si>
    <t>Basic Science</t>
  </si>
  <si>
    <t>Social Studies</t>
  </si>
  <si>
    <t>Computer Studies</t>
  </si>
  <si>
    <t>Civic Education</t>
  </si>
  <si>
    <t>STU001</t>
  </si>
  <si>
    <t>John Danjuma</t>
  </si>
  <si>
    <t>MALE</t>
  </si>
  <si>
    <t>JSS1A</t>
  </si>
  <si>
    <t>First Term</t>
  </si>
  <si>
    <t>male</t>
  </si>
  <si>
    <t>Second Term</t>
  </si>
  <si>
    <t>Male</t>
  </si>
  <si>
    <t>JSS1 A</t>
  </si>
  <si>
    <t>Third Term</t>
  </si>
  <si>
    <t>STU002</t>
  </si>
  <si>
    <t xml:space="preserve">  Damilola Danjuma</t>
  </si>
  <si>
    <t>Female</t>
  </si>
  <si>
    <t>damilola danjuma</t>
  </si>
  <si>
    <t>FEMALE</t>
  </si>
  <si>
    <t>Damilola Danjuma</t>
  </si>
  <si>
    <t xml:space="preserve">49 </t>
  </si>
  <si>
    <t>STU003</t>
  </si>
  <si>
    <t>Khadija Johnson</t>
  </si>
  <si>
    <t>female</t>
  </si>
  <si>
    <t>STU004</t>
  </si>
  <si>
    <t>Favour Yakubu</t>
  </si>
  <si>
    <t>F</t>
  </si>
  <si>
    <t>jss1a</t>
  </si>
  <si>
    <t>STU005</t>
  </si>
  <si>
    <t>Emeka Olawale</t>
  </si>
  <si>
    <t>M</t>
  </si>
  <si>
    <t>Jss1A</t>
  </si>
  <si>
    <t>STU006</t>
  </si>
  <si>
    <t>John Anyanwu</t>
  </si>
  <si>
    <t>STU007</t>
  </si>
  <si>
    <t>Zainab Ogunleye</t>
  </si>
  <si>
    <t>STU008</t>
  </si>
  <si>
    <t>Obiageli  Umar</t>
  </si>
  <si>
    <t>Obiageli Umar</t>
  </si>
  <si>
    <t>STU009</t>
  </si>
  <si>
    <t>Nkechi Adebayo</t>
  </si>
  <si>
    <t xml:space="preserve">50 </t>
  </si>
  <si>
    <t>STU010</t>
  </si>
  <si>
    <t>Olumide Umar</t>
  </si>
  <si>
    <t>STU011</t>
  </si>
  <si>
    <t>Daniel  Onyeka</t>
  </si>
  <si>
    <t>Daniel Onyeka</t>
  </si>
  <si>
    <t>STU012</t>
  </si>
  <si>
    <t>Daniel Kalu</t>
  </si>
  <si>
    <t>STU013</t>
  </si>
  <si>
    <t>Sani Adewale</t>
  </si>
  <si>
    <t xml:space="preserve">Sani Adewale  </t>
  </si>
  <si>
    <t>sani adewale</t>
  </si>
  <si>
    <t>STU014</t>
  </si>
  <si>
    <t>Uchenna Ogundipe</t>
  </si>
  <si>
    <t>STU015</t>
  </si>
  <si>
    <t>David Oladipo</t>
  </si>
  <si>
    <t>STU016</t>
  </si>
  <si>
    <t>Tayo Ogundipe</t>
  </si>
  <si>
    <t>JSS 1A</t>
  </si>
  <si>
    <t>tayo ogundipe</t>
  </si>
  <si>
    <t>STU017</t>
  </si>
  <si>
    <t>Ngozi Agu</t>
  </si>
  <si>
    <t>STU018</t>
  </si>
  <si>
    <t>Dayo Williams</t>
  </si>
  <si>
    <t>STU019</t>
  </si>
  <si>
    <t>Grace Olawale</t>
  </si>
  <si>
    <t>STU020</t>
  </si>
  <si>
    <t>Abdullah Akinola</t>
  </si>
  <si>
    <t>abdullah akinola</t>
  </si>
  <si>
    <t>93</t>
  </si>
  <si>
    <t>STU021</t>
  </si>
  <si>
    <t>John Ajayi</t>
  </si>
  <si>
    <t>STU022</t>
  </si>
  <si>
    <t>Precious Bello</t>
  </si>
  <si>
    <t>Precious  Bello</t>
  </si>
  <si>
    <t>STU023</t>
  </si>
  <si>
    <t>Aminu Kalu</t>
  </si>
  <si>
    <t>STU024</t>
  </si>
  <si>
    <t>Comfort Okonkwo</t>
  </si>
  <si>
    <t>STU025</t>
  </si>
  <si>
    <t>Adaeze Suleiman</t>
  </si>
  <si>
    <t xml:space="preserve">Adaeze Suleiman  </t>
  </si>
  <si>
    <t>STU026</t>
  </si>
  <si>
    <t>Grace Akinola</t>
  </si>
  <si>
    <t>STU027</t>
  </si>
  <si>
    <t>Patience Umar</t>
  </si>
  <si>
    <t>STU028</t>
  </si>
  <si>
    <t>Chioma  Agu</t>
  </si>
  <si>
    <t>Chioma Agu</t>
  </si>
  <si>
    <t>STU029</t>
  </si>
  <si>
    <t>NGOZI ADEWALE</t>
  </si>
  <si>
    <t>Ngozi Adewale</t>
  </si>
  <si>
    <t>STU030</t>
  </si>
  <si>
    <t>Ebere Ogundipe</t>
  </si>
  <si>
    <t>STU031</t>
  </si>
  <si>
    <t>Stephen Mohammed</t>
  </si>
  <si>
    <t>STU032</t>
  </si>
  <si>
    <t>Dare Abubakar</t>
  </si>
  <si>
    <t>46</t>
  </si>
  <si>
    <t>STU033</t>
  </si>
  <si>
    <t>Musa Oladipo</t>
  </si>
  <si>
    <t>MUSA OLADIPO</t>
  </si>
  <si>
    <t>STU034</t>
  </si>
  <si>
    <t>Segun Adeyemi</t>
  </si>
  <si>
    <t xml:space="preserve">  Segun Adeyemi</t>
  </si>
  <si>
    <t xml:space="preserve">78 </t>
  </si>
  <si>
    <t>segun adeyemi</t>
  </si>
  <si>
    <t>STU035</t>
  </si>
  <si>
    <t>Sani Nwankwo</t>
  </si>
  <si>
    <t>STU036</t>
  </si>
  <si>
    <t>Kemi Danjuma</t>
  </si>
  <si>
    <t>STU037</t>
  </si>
  <si>
    <t>Grace  Oladipo</t>
  </si>
  <si>
    <t>Grace Oladipo</t>
  </si>
  <si>
    <t>STU038</t>
  </si>
  <si>
    <t>Damilola Aliyu</t>
  </si>
  <si>
    <t>STU039</t>
  </si>
  <si>
    <t>Babatunde Garba</t>
  </si>
  <si>
    <t>BABATUNDE GARBA</t>
  </si>
  <si>
    <t>STU040</t>
  </si>
  <si>
    <t>Omolara Kalu</t>
  </si>
  <si>
    <t>STU041</t>
  </si>
  <si>
    <t>Seun Okafor</t>
  </si>
  <si>
    <t>JSS1B</t>
  </si>
  <si>
    <t>48</t>
  </si>
  <si>
    <t>STU042</t>
  </si>
  <si>
    <t>Aminu Adeyemi</t>
  </si>
  <si>
    <t xml:space="preserve">Aminu Adeyemi  </t>
  </si>
  <si>
    <t>STU043</t>
  </si>
  <si>
    <t xml:space="preserve">  Omolara Obi</t>
  </si>
  <si>
    <t>Omolara Obi</t>
  </si>
  <si>
    <t>STU044</t>
  </si>
  <si>
    <t>Omolara Adebayo</t>
  </si>
  <si>
    <t>57</t>
  </si>
  <si>
    <t>STU045</t>
  </si>
  <si>
    <t>Ebere Ogunleye</t>
  </si>
  <si>
    <t>ebere ogunleye</t>
  </si>
  <si>
    <t>jss1b</t>
  </si>
  <si>
    <t>STU046</t>
  </si>
  <si>
    <t xml:space="preserve">Damilola Yakubu  </t>
  </si>
  <si>
    <t>JSS 1B</t>
  </si>
  <si>
    <t>Damilola Yakubu</t>
  </si>
  <si>
    <t>STU047</t>
  </si>
  <si>
    <t>Tunde  Abubakar</t>
  </si>
  <si>
    <t>Tunde Abubakar</t>
  </si>
  <si>
    <t>STU048</t>
  </si>
  <si>
    <t>Musa Salami</t>
  </si>
  <si>
    <t xml:space="preserve">  Musa Salami</t>
  </si>
  <si>
    <t>Musa  Salami</t>
  </si>
  <si>
    <t>STU049</t>
  </si>
  <si>
    <t>Samuel Abubakar</t>
  </si>
  <si>
    <t>samuel abubakar</t>
  </si>
  <si>
    <t>STU050</t>
  </si>
  <si>
    <t>Omolara Anyanwu</t>
  </si>
  <si>
    <t>STU051</t>
  </si>
  <si>
    <t>Uchenna Garba</t>
  </si>
  <si>
    <t>Jss1B</t>
  </si>
  <si>
    <t>STU052</t>
  </si>
  <si>
    <t>folake amadi</t>
  </si>
  <si>
    <t>Folake Amadi</t>
  </si>
  <si>
    <t>STU053</t>
  </si>
  <si>
    <t>Garba Adebayo</t>
  </si>
  <si>
    <t>STU054</t>
  </si>
  <si>
    <t>Chioma Adewale</t>
  </si>
  <si>
    <t>STU055</t>
  </si>
  <si>
    <t>Mercy Musa</t>
  </si>
  <si>
    <t>52</t>
  </si>
  <si>
    <t xml:space="preserve">45 </t>
  </si>
  <si>
    <t>STU056</t>
  </si>
  <si>
    <t>Esther Nnadi</t>
  </si>
  <si>
    <t xml:space="preserve">Esther Nnadi  </t>
  </si>
  <si>
    <t>STU057</t>
  </si>
  <si>
    <t>Tobi Okonkwo</t>
  </si>
  <si>
    <t>STU058</t>
  </si>
  <si>
    <t>Titilayo Umar</t>
  </si>
  <si>
    <t>STU059</t>
  </si>
  <si>
    <t>Daniel Afolabi</t>
  </si>
  <si>
    <t>STU060</t>
  </si>
  <si>
    <t>Emmanuel Onyeka</t>
  </si>
  <si>
    <t xml:space="preserve">  Emmanuel Onyeka</t>
  </si>
  <si>
    <t>STU061</t>
  </si>
  <si>
    <t>Emeka Danjuma</t>
  </si>
  <si>
    <t>STU062</t>
  </si>
  <si>
    <t>Emeka Mohammed</t>
  </si>
  <si>
    <t>STU063</t>
  </si>
  <si>
    <t xml:space="preserve">  Oluwaseun Balogun</t>
  </si>
  <si>
    <t>Oluwaseun Balogun</t>
  </si>
  <si>
    <t>STU064</t>
  </si>
  <si>
    <t>Adaeze Bakare</t>
  </si>
  <si>
    <t>adaeze bakare</t>
  </si>
  <si>
    <t>STU065</t>
  </si>
  <si>
    <t>Comfort Oyewole</t>
  </si>
  <si>
    <t>JSS1 B</t>
  </si>
  <si>
    <t>STU066</t>
  </si>
  <si>
    <t>Ruth Nwankwo</t>
  </si>
  <si>
    <t>STU067</t>
  </si>
  <si>
    <t>Khadija Idowu</t>
  </si>
  <si>
    <t>khadija idowu</t>
  </si>
  <si>
    <t>47</t>
  </si>
  <si>
    <t>STU068</t>
  </si>
  <si>
    <t>Samuel Bakare</t>
  </si>
  <si>
    <t>STU069</t>
  </si>
  <si>
    <t>Khadija Suleiman</t>
  </si>
  <si>
    <t>STU070</t>
  </si>
  <si>
    <t xml:space="preserve">Adesua Okafor  </t>
  </si>
  <si>
    <t>Adesua Okafor</t>
  </si>
  <si>
    <t xml:space="preserve">  Adesua Okafor</t>
  </si>
  <si>
    <t>STU071</t>
  </si>
  <si>
    <t>Tayo Oyewole</t>
  </si>
  <si>
    <t>STU072</t>
  </si>
  <si>
    <t>Peter Chukwu</t>
  </si>
  <si>
    <t>69</t>
  </si>
  <si>
    <t>STU073</t>
  </si>
  <si>
    <t>Obiageli Onyeka</t>
  </si>
  <si>
    <t>Obiageli  Onyeka</t>
  </si>
  <si>
    <t>OBIAGELI ONYEKA</t>
  </si>
  <si>
    <t>STU074</t>
  </si>
  <si>
    <t>Obinna Williams</t>
  </si>
  <si>
    <t>OBINNA WILLIAMS</t>
  </si>
  <si>
    <t>STU075</t>
  </si>
  <si>
    <t>CHIAMAKA NWOSU</t>
  </si>
  <si>
    <t>Chiamaka Nwosu</t>
  </si>
  <si>
    <t>STU076</t>
  </si>
  <si>
    <t>BELLO EZE</t>
  </si>
  <si>
    <t>Bello Eze</t>
  </si>
  <si>
    <t>STU077</t>
  </si>
  <si>
    <t xml:space="preserve">Nnamdi Ibrahim  </t>
  </si>
  <si>
    <t>Nnamdi Ibrahim</t>
  </si>
  <si>
    <t xml:space="preserve">  Nnamdi Ibrahim</t>
  </si>
  <si>
    <t>STU078</t>
  </si>
  <si>
    <t xml:space="preserve">  Funmilayo Adewale</t>
  </si>
  <si>
    <t xml:space="preserve">Funmilayo Adewale  </t>
  </si>
  <si>
    <t>Funmilayo Adewale</t>
  </si>
  <si>
    <t>STU079</t>
  </si>
  <si>
    <t>Nnamdi Williams</t>
  </si>
  <si>
    <t>STU080</t>
  </si>
  <si>
    <t>Musa Olawale</t>
  </si>
  <si>
    <t>STU081</t>
  </si>
  <si>
    <t xml:space="preserve">  Folake Aliyu</t>
  </si>
  <si>
    <t>JSS2A</t>
  </si>
  <si>
    <t>Folake Aliyu</t>
  </si>
  <si>
    <t>STU082</t>
  </si>
  <si>
    <t>Yusuf Musa</t>
  </si>
  <si>
    <t>STU083</t>
  </si>
  <si>
    <t>Ruth Afolabi</t>
  </si>
  <si>
    <t>ruth afolabi</t>
  </si>
  <si>
    <t>STU084</t>
  </si>
  <si>
    <t>Omolara Oyewole</t>
  </si>
  <si>
    <t>jss2a</t>
  </si>
  <si>
    <t>STU085</t>
  </si>
  <si>
    <t>Femi Uzor</t>
  </si>
  <si>
    <t xml:space="preserve">Femi Uzor  </t>
  </si>
  <si>
    <t>STU086</t>
  </si>
  <si>
    <t>John Ojo</t>
  </si>
  <si>
    <t xml:space="preserve">55 </t>
  </si>
  <si>
    <t xml:space="preserve">John Ojo  </t>
  </si>
  <si>
    <t>JSS2 A</t>
  </si>
  <si>
    <t>STU087</t>
  </si>
  <si>
    <t>Michael Amadi</t>
  </si>
  <si>
    <t>STU088</t>
  </si>
  <si>
    <t>Sade Obi</t>
  </si>
  <si>
    <t>62</t>
  </si>
  <si>
    <t xml:space="preserve">Sade Obi  </t>
  </si>
  <si>
    <t>STU089</t>
  </si>
  <si>
    <t>Tunde Umar</t>
  </si>
  <si>
    <t>STU090</t>
  </si>
  <si>
    <t>Ngozi Bello</t>
  </si>
  <si>
    <t>Jss2A</t>
  </si>
  <si>
    <t>STU091</t>
  </si>
  <si>
    <t>Yusuf Abubakar</t>
  </si>
  <si>
    <t>STU092</t>
  </si>
  <si>
    <t>Adaeze Nwankwo</t>
  </si>
  <si>
    <t>STU093</t>
  </si>
  <si>
    <t xml:space="preserve">  Bello Ogbonna</t>
  </si>
  <si>
    <t>Bello Ogbonna</t>
  </si>
  <si>
    <t>STU094</t>
  </si>
  <si>
    <t>Olumide Eke</t>
  </si>
  <si>
    <t>STU095</t>
  </si>
  <si>
    <t>Daniel Salami</t>
  </si>
  <si>
    <t>STU096</t>
  </si>
  <si>
    <t>Precious Musa</t>
  </si>
  <si>
    <t>STU097</t>
  </si>
  <si>
    <t>Yetunde Adebayo</t>
  </si>
  <si>
    <t>STU098</t>
  </si>
  <si>
    <t>Uchenna Obi</t>
  </si>
  <si>
    <t>STU099</t>
  </si>
  <si>
    <t>Emmanuel Thomas</t>
  </si>
  <si>
    <t>STU100</t>
  </si>
  <si>
    <t>Patience Nwosu</t>
  </si>
  <si>
    <t>STU101</t>
  </si>
  <si>
    <t>Wuraola Ezeh</t>
  </si>
  <si>
    <t>Wuraola  Ezeh</t>
  </si>
  <si>
    <t>JSS 2A</t>
  </si>
  <si>
    <t>STU102</t>
  </si>
  <si>
    <t>Zainab Chukwu</t>
  </si>
  <si>
    <t>ZAINAB CHUKWU</t>
  </si>
  <si>
    <t>STU103</t>
  </si>
  <si>
    <t>Ngozi Olawale</t>
  </si>
  <si>
    <t xml:space="preserve">  Ngozi Olawale</t>
  </si>
  <si>
    <t>STU104</t>
  </si>
  <si>
    <t>Funmilayo Uzor</t>
  </si>
  <si>
    <t>funmilayo uzor</t>
  </si>
  <si>
    <t>STU105</t>
  </si>
  <si>
    <t>Ibrahim Nwosu</t>
  </si>
  <si>
    <t>STU106</t>
  </si>
  <si>
    <t xml:space="preserve">Mercy Ibrahim  </t>
  </si>
  <si>
    <t>Mercy Ibrahim</t>
  </si>
  <si>
    <t>STU107</t>
  </si>
  <si>
    <t xml:space="preserve">Peter Ezeh  </t>
  </si>
  <si>
    <t>Peter Ezeh</t>
  </si>
  <si>
    <t>STU108</t>
  </si>
  <si>
    <t>Segun Aliyu</t>
  </si>
  <si>
    <t>STU109</t>
  </si>
  <si>
    <t>Seun Ogbonna</t>
  </si>
  <si>
    <t>STU110</t>
  </si>
  <si>
    <t>Ayodele Yakubu</t>
  </si>
  <si>
    <t>STU111</t>
  </si>
  <si>
    <t>Peter Nwankwo</t>
  </si>
  <si>
    <t>STU112</t>
  </si>
  <si>
    <t>Fatima Garba</t>
  </si>
  <si>
    <t>STU113</t>
  </si>
  <si>
    <t>Kelechi Okonkwo</t>
  </si>
  <si>
    <t>45</t>
  </si>
  <si>
    <t>STU114</t>
  </si>
  <si>
    <t>Ngozi Yakubu</t>
  </si>
  <si>
    <t>ngozi yakubu</t>
  </si>
  <si>
    <t>STU115</t>
  </si>
  <si>
    <t>Amaka Hassan</t>
  </si>
  <si>
    <t>STU116</t>
  </si>
  <si>
    <t>Chinedu Bello</t>
  </si>
  <si>
    <t>CHINEDU BELLO</t>
  </si>
  <si>
    <t>STU117</t>
  </si>
  <si>
    <t>Esther Adebayo</t>
  </si>
  <si>
    <t xml:space="preserve">Esther Adebayo  </t>
  </si>
  <si>
    <t>STU118</t>
  </si>
  <si>
    <t xml:space="preserve">Ngozi Nnadi  </t>
  </si>
  <si>
    <t>Ngozi Nnadi</t>
  </si>
  <si>
    <t>STU119</t>
  </si>
  <si>
    <t>Bisola Ogundipe</t>
  </si>
  <si>
    <t>STU120</t>
  </si>
  <si>
    <t>Wale Abubakar</t>
  </si>
  <si>
    <t>STU121</t>
  </si>
  <si>
    <t>Titilayo Ogunleye</t>
  </si>
  <si>
    <t>JSS2B</t>
  </si>
  <si>
    <t>Jss2B</t>
  </si>
  <si>
    <t>TITILAYO OGUNLEYE</t>
  </si>
  <si>
    <t>STU122</t>
  </si>
  <si>
    <t>Michael Afolabi</t>
  </si>
  <si>
    <t>JSS2 B</t>
  </si>
  <si>
    <t>STU123</t>
  </si>
  <si>
    <t>Chiamaka Nnadi</t>
  </si>
  <si>
    <t>STU124</t>
  </si>
  <si>
    <t>Dayo Akinola</t>
  </si>
  <si>
    <t>dayo akinola</t>
  </si>
  <si>
    <t>STU125</t>
  </si>
  <si>
    <t>Aisha Ogbonna</t>
  </si>
  <si>
    <t>STU126</t>
  </si>
  <si>
    <t xml:space="preserve">Seun Johnson  </t>
  </si>
  <si>
    <t>Seun Johnson</t>
  </si>
  <si>
    <t>STU127</t>
  </si>
  <si>
    <t>Joy Bello</t>
  </si>
  <si>
    <t>STU128</t>
  </si>
  <si>
    <t xml:space="preserve">  Adesua Aliyu</t>
  </si>
  <si>
    <t>Adesua Aliyu</t>
  </si>
  <si>
    <t>STU129</t>
  </si>
  <si>
    <t xml:space="preserve">Dare Musa  </t>
  </si>
  <si>
    <t>Dare Musa</t>
  </si>
  <si>
    <t>STU130</t>
  </si>
  <si>
    <t>Segun Uzor</t>
  </si>
  <si>
    <t>STU131</t>
  </si>
  <si>
    <t>Chiamaka Balogun</t>
  </si>
  <si>
    <t>chiamaka balogun</t>
  </si>
  <si>
    <t>CHIAMAKA BALOGUN</t>
  </si>
  <si>
    <t>jss2b</t>
  </si>
  <si>
    <t>STU132</t>
  </si>
  <si>
    <t>Ifeanyi Ogunleye</t>
  </si>
  <si>
    <t xml:space="preserve"> NGOZI BELLO</t>
  </si>
  <si>
    <t>ifeanyi ogunleye</t>
  </si>
  <si>
    <t>STU133</t>
  </si>
  <si>
    <t>Ifeanyi Ogundipe</t>
  </si>
  <si>
    <t xml:space="preserve">Ifeanyi Ogundipe  </t>
  </si>
  <si>
    <t>STU134</t>
  </si>
  <si>
    <t>Nnamdi Obi</t>
  </si>
  <si>
    <t>STU135</t>
  </si>
  <si>
    <t>Yetunde Okonkwo</t>
  </si>
  <si>
    <t>STU136</t>
  </si>
  <si>
    <t xml:space="preserve">  Sade Hassan</t>
  </si>
  <si>
    <t>Sade Hassan</t>
  </si>
  <si>
    <t xml:space="preserve">Sade Hassan  </t>
  </si>
  <si>
    <t>STU137</t>
  </si>
  <si>
    <t>Wuraola Eke</t>
  </si>
  <si>
    <t>STU138</t>
  </si>
  <si>
    <t>Seun Obi</t>
  </si>
  <si>
    <t>STU139</t>
  </si>
  <si>
    <t xml:space="preserve">  Khadija Okafor</t>
  </si>
  <si>
    <t>Khadija Okafor</t>
  </si>
  <si>
    <t>Khadija  Okafor</t>
  </si>
  <si>
    <t>STU140</t>
  </si>
  <si>
    <t>Dayo Mohammed</t>
  </si>
  <si>
    <t>STU141</t>
  </si>
  <si>
    <t>Funmilayo Ogbonna</t>
  </si>
  <si>
    <t>STU142</t>
  </si>
  <si>
    <t>Kemi Ibrahim</t>
  </si>
  <si>
    <t>STU143</t>
  </si>
  <si>
    <t>Tunde Okafor</t>
  </si>
  <si>
    <t>STU144</t>
  </si>
  <si>
    <t>Ugochukwu Adeyemi</t>
  </si>
  <si>
    <t>STU145</t>
  </si>
  <si>
    <t>Uchenna Johnson</t>
  </si>
  <si>
    <t>JSS 2B</t>
  </si>
  <si>
    <t>uchenna johnson</t>
  </si>
  <si>
    <t>STU146</t>
  </si>
  <si>
    <t>Damilola Amadi</t>
  </si>
  <si>
    <t>STU147</t>
  </si>
  <si>
    <t>Garba Lawal</t>
  </si>
  <si>
    <t xml:space="preserve">Garba Lawal  </t>
  </si>
  <si>
    <t>GARBA LAWAL</t>
  </si>
  <si>
    <t>STU148</t>
  </si>
  <si>
    <t>Femi Oladipo</t>
  </si>
  <si>
    <t>STU149</t>
  </si>
  <si>
    <t>Ifeanyi Ibrahim</t>
  </si>
  <si>
    <t>STU150</t>
  </si>
  <si>
    <t>Comfort Kalu</t>
  </si>
  <si>
    <t>STU151</t>
  </si>
  <si>
    <t>Ifeoma Ogunleye</t>
  </si>
  <si>
    <t>STU152</t>
  </si>
  <si>
    <t>Oluwaseun Lawal</t>
  </si>
  <si>
    <t>STU153</t>
  </si>
  <si>
    <t xml:space="preserve">  Ifeanyi Adewale</t>
  </si>
  <si>
    <t>Ifeanyi Adewale</t>
  </si>
  <si>
    <t>STU154</t>
  </si>
  <si>
    <t>Femi Ekpo</t>
  </si>
  <si>
    <t>femi ekpo</t>
  </si>
  <si>
    <t>STU155</t>
  </si>
  <si>
    <t>Comfort Eke</t>
  </si>
  <si>
    <t>comfort eke</t>
  </si>
  <si>
    <t>STU156</t>
  </si>
  <si>
    <t>Uchenna Nwosu</t>
  </si>
  <si>
    <t>STU157</t>
  </si>
  <si>
    <t>Hauwa Lawal</t>
  </si>
  <si>
    <t xml:space="preserve">64 </t>
  </si>
  <si>
    <t>81</t>
  </si>
  <si>
    <t>STU158</t>
  </si>
  <si>
    <t>Sade Umar</t>
  </si>
  <si>
    <t>98</t>
  </si>
  <si>
    <t>STU159</t>
  </si>
  <si>
    <t>Ikenna Thomas</t>
  </si>
  <si>
    <t>STU160</t>
  </si>
  <si>
    <t>Folake Hassan</t>
  </si>
  <si>
    <t>folake hassan</t>
  </si>
  <si>
    <t>STU161</t>
  </si>
  <si>
    <t>yusuf salami</t>
  </si>
  <si>
    <t>JSS3A</t>
  </si>
  <si>
    <t>58</t>
  </si>
  <si>
    <t>Yusuf Salami</t>
  </si>
  <si>
    <t>STU162</t>
  </si>
  <si>
    <t>Omolara Mohammed</t>
  </si>
  <si>
    <t>STU163</t>
  </si>
  <si>
    <t xml:space="preserve">Tolu Mohammed  </t>
  </si>
  <si>
    <t>Tolu Mohammed</t>
  </si>
  <si>
    <t>STU164</t>
  </si>
  <si>
    <t>Ifeoma Hassan</t>
  </si>
  <si>
    <t>ifeoma hassan</t>
  </si>
  <si>
    <t>STU165</t>
  </si>
  <si>
    <t>Seun Danjuma</t>
  </si>
  <si>
    <t>JSS3 A</t>
  </si>
  <si>
    <t>STU166</t>
  </si>
  <si>
    <t>Patience Adeyemi</t>
  </si>
  <si>
    <t>STU167</t>
  </si>
  <si>
    <t>IFEOMA SULEIMAN</t>
  </si>
  <si>
    <t>Ifeoma Suleiman</t>
  </si>
  <si>
    <t>STU168</t>
  </si>
  <si>
    <t>Ifeanyi Oladipo</t>
  </si>
  <si>
    <t>JSS 3A</t>
  </si>
  <si>
    <t>STU169</t>
  </si>
  <si>
    <t>Dare Bakare</t>
  </si>
  <si>
    <t>Jss3A</t>
  </si>
  <si>
    <t>STU170</t>
  </si>
  <si>
    <t>Khadija Obi</t>
  </si>
  <si>
    <t>STU171</t>
  </si>
  <si>
    <t>Ifeanyi Amadi</t>
  </si>
  <si>
    <t>STU172</t>
  </si>
  <si>
    <t>Garba Danjuma</t>
  </si>
  <si>
    <t>GARBA DANJUMA</t>
  </si>
  <si>
    <t>garba danjuma</t>
  </si>
  <si>
    <t>STU173</t>
  </si>
  <si>
    <t>Esther Musa</t>
  </si>
  <si>
    <t>jss3a</t>
  </si>
  <si>
    <t>STU174</t>
  </si>
  <si>
    <t>Kemi Hassan</t>
  </si>
  <si>
    <t>kemi hassan</t>
  </si>
  <si>
    <t>STU175</t>
  </si>
  <si>
    <t>Dare Ogbonna</t>
  </si>
  <si>
    <t>STU176</t>
  </si>
  <si>
    <t>Dare Danjuma</t>
  </si>
  <si>
    <t>STU177</t>
  </si>
  <si>
    <t>Blessing Ibrahim</t>
  </si>
  <si>
    <t>STU178</t>
  </si>
  <si>
    <t>Comfort Anyanwu</t>
  </si>
  <si>
    <t>STU179</t>
  </si>
  <si>
    <t>Ayodele Abubakar</t>
  </si>
  <si>
    <t>STU180</t>
  </si>
  <si>
    <t>Daniel Thomas</t>
  </si>
  <si>
    <t>STU181</t>
  </si>
  <si>
    <t>Bello Adewale</t>
  </si>
  <si>
    <t>STU182</t>
  </si>
  <si>
    <t>Nnamdi Ajayi</t>
  </si>
  <si>
    <t>NNAMDI AJAYI</t>
  </si>
  <si>
    <t>STU183</t>
  </si>
  <si>
    <t>Nnamdi  Ezeh</t>
  </si>
  <si>
    <t>Nnamdi Ezeh</t>
  </si>
  <si>
    <t>STU184</t>
  </si>
  <si>
    <t>Precious Abubakar</t>
  </si>
  <si>
    <t>precious abubakar</t>
  </si>
  <si>
    <t xml:space="preserve">  Precious Abubakar</t>
  </si>
  <si>
    <t>STU185</t>
  </si>
  <si>
    <t>Usman Eke</t>
  </si>
  <si>
    <t>STU186</t>
  </si>
  <si>
    <t xml:space="preserve">  Seun Adebayo</t>
  </si>
  <si>
    <t>Seun Adebayo</t>
  </si>
  <si>
    <t>STU187</t>
  </si>
  <si>
    <t>Nneka Oladipo</t>
  </si>
  <si>
    <t>STU188</t>
  </si>
  <si>
    <t>Peter Uzor</t>
  </si>
  <si>
    <t>STU189</t>
  </si>
  <si>
    <t>Ifeoma Lawal</t>
  </si>
  <si>
    <t xml:space="preserve">Ifeoma Lawal  </t>
  </si>
  <si>
    <t>STU190</t>
  </si>
  <si>
    <t xml:space="preserve">  Tobi Onyeka</t>
  </si>
  <si>
    <t>Tobi Onyeka</t>
  </si>
  <si>
    <t>STU191</t>
  </si>
  <si>
    <t>Hauwa Aliyu</t>
  </si>
  <si>
    <t xml:space="preserve">  Hauwa Aliyu</t>
  </si>
  <si>
    <t>STU192</t>
  </si>
  <si>
    <t>Blessing Amadi</t>
  </si>
  <si>
    <t>44</t>
  </si>
  <si>
    <t>STU193</t>
  </si>
  <si>
    <t>Grace Ekpo</t>
  </si>
  <si>
    <t>GRACE EKPO</t>
  </si>
  <si>
    <t>STU194</t>
  </si>
  <si>
    <t>Obiageli Ojo</t>
  </si>
  <si>
    <t>61</t>
  </si>
  <si>
    <t>STU195</t>
  </si>
  <si>
    <t>Gbenga Oladipo</t>
  </si>
  <si>
    <t>STU196</t>
  </si>
  <si>
    <t>Musa Nwankwo</t>
  </si>
  <si>
    <t xml:space="preserve">Musa Nwankwo  </t>
  </si>
  <si>
    <t>STU197</t>
  </si>
  <si>
    <t>Ngozi Suleiman</t>
  </si>
  <si>
    <t xml:space="preserve">  Ngozi Suleiman</t>
  </si>
  <si>
    <t>STU198</t>
  </si>
  <si>
    <t xml:space="preserve">  Aisha Salami</t>
  </si>
  <si>
    <t>Aisha Salami</t>
  </si>
  <si>
    <t>STU199</t>
  </si>
  <si>
    <t>Obiageli Okonkwo</t>
  </si>
  <si>
    <t xml:space="preserve">  Obiageli Okonkwo</t>
  </si>
  <si>
    <t>STU200</t>
  </si>
  <si>
    <t>Kelechi Williams</t>
  </si>
  <si>
    <t>STU201</t>
  </si>
  <si>
    <t>Ifeoma Yakubu</t>
  </si>
  <si>
    <t>JSS3B</t>
  </si>
  <si>
    <t xml:space="preserve">Ifeoma Yakubu  </t>
  </si>
  <si>
    <t>STU202</t>
  </si>
  <si>
    <t>Ibrahim Nwankwo</t>
  </si>
  <si>
    <t>Jss3B</t>
  </si>
  <si>
    <t>STU203</t>
  </si>
  <si>
    <t>Sani Ogbonna</t>
  </si>
  <si>
    <t>STU204</t>
  </si>
  <si>
    <t xml:space="preserve">Chiamaka Ogundipe  </t>
  </si>
  <si>
    <t>JSS3 B</t>
  </si>
  <si>
    <t>Chiamaka Ogundipe</t>
  </si>
  <si>
    <t>33</t>
  </si>
  <si>
    <t>43</t>
  </si>
  <si>
    <t>STU205</t>
  </si>
  <si>
    <t>Tobi Oyewole</t>
  </si>
  <si>
    <t xml:space="preserve">59 </t>
  </si>
  <si>
    <t>STU206</t>
  </si>
  <si>
    <t>Aminu Abubakar</t>
  </si>
  <si>
    <t>STU207</t>
  </si>
  <si>
    <t>Michael Ojo</t>
  </si>
  <si>
    <t>STU208</t>
  </si>
  <si>
    <t>David Olawale</t>
  </si>
  <si>
    <t>STU209</t>
  </si>
  <si>
    <t>Kunle Thomas</t>
  </si>
  <si>
    <t>STU210</t>
  </si>
  <si>
    <t>Mercy Afolabi</t>
  </si>
  <si>
    <t>STU211</t>
  </si>
  <si>
    <t xml:space="preserve">Nkechi Okonkwo  </t>
  </si>
  <si>
    <t>Nkechi Okonkwo</t>
  </si>
  <si>
    <t>JSS 3B</t>
  </si>
  <si>
    <t>STU212</t>
  </si>
  <si>
    <t>Chioma Adebayo</t>
  </si>
  <si>
    <t>chioma adebayo</t>
  </si>
  <si>
    <t>STU213</t>
  </si>
  <si>
    <t>Tolu Williams</t>
  </si>
  <si>
    <t>Tolu  Williams</t>
  </si>
  <si>
    <t>STU214</t>
  </si>
  <si>
    <t>Amaka  Nwankwo</t>
  </si>
  <si>
    <t>Amaka Nwankwo</t>
  </si>
  <si>
    <t>STU215</t>
  </si>
  <si>
    <t>Uchenna Oyewole</t>
  </si>
  <si>
    <t>UCHENNA OYEWOLE</t>
  </si>
  <si>
    <t>STU216</t>
  </si>
  <si>
    <t>Adesua Nwosu</t>
  </si>
  <si>
    <t>STU217</t>
  </si>
  <si>
    <t>Tunde Oladipo</t>
  </si>
  <si>
    <t>STU218</t>
  </si>
  <si>
    <t>Precious Aliyu</t>
  </si>
  <si>
    <t>80</t>
  </si>
  <si>
    <t>STU219</t>
  </si>
  <si>
    <t>Nnamdi Onyeka</t>
  </si>
  <si>
    <t>STU220</t>
  </si>
  <si>
    <t>Daniel Oyewole</t>
  </si>
  <si>
    <t>STU221</t>
  </si>
  <si>
    <t>Damilola Johnson</t>
  </si>
  <si>
    <t>DAMILOLA JOHNSON</t>
  </si>
  <si>
    <t>STU222</t>
  </si>
  <si>
    <t>Samuel Chukwu</t>
  </si>
  <si>
    <t>STU223</t>
  </si>
  <si>
    <t>Amaka Adebayo</t>
  </si>
  <si>
    <t>STU224</t>
  </si>
  <si>
    <t>Joy Ekpo</t>
  </si>
  <si>
    <t>STU225</t>
  </si>
  <si>
    <t xml:space="preserve">Joy Ojo  </t>
  </si>
  <si>
    <t>Joy Ojo</t>
  </si>
  <si>
    <t>STU226</t>
  </si>
  <si>
    <t xml:space="preserve">Nnamdi Nwankwo  </t>
  </si>
  <si>
    <t>nnamdi nwankwo</t>
  </si>
  <si>
    <t>STU227</t>
  </si>
  <si>
    <t>Grace Musa</t>
  </si>
  <si>
    <t>STU228</t>
  </si>
  <si>
    <t>TOLU AMADI</t>
  </si>
  <si>
    <t>jss3b</t>
  </si>
  <si>
    <t>Tolu Amadi</t>
  </si>
  <si>
    <t>STU229</t>
  </si>
  <si>
    <t>Fatima Anyanwu</t>
  </si>
  <si>
    <t>STU230</t>
  </si>
  <si>
    <t xml:space="preserve">  Gbenga Uzor</t>
  </si>
  <si>
    <t>Gbenga Uzor</t>
  </si>
  <si>
    <t>STU231</t>
  </si>
  <si>
    <t>Bello Ezeh</t>
  </si>
  <si>
    <t xml:space="preserve">Bello Ezeh  </t>
  </si>
  <si>
    <t>STU232</t>
  </si>
  <si>
    <t xml:space="preserve">  Amaka Ogbonna</t>
  </si>
  <si>
    <t>Amaka Ogbonna</t>
  </si>
  <si>
    <t>STU233</t>
  </si>
  <si>
    <t>Ugochukwu  Eke</t>
  </si>
  <si>
    <t xml:space="preserve">  Ugochukwu Eke</t>
  </si>
  <si>
    <t>Ugochukwu Eke</t>
  </si>
  <si>
    <t>STU234</t>
  </si>
  <si>
    <t>Daniel Nnadi</t>
  </si>
  <si>
    <t xml:space="preserve">Daniel Nnadi  </t>
  </si>
  <si>
    <t>Daniel  Nnadi</t>
  </si>
  <si>
    <t>STU235</t>
  </si>
  <si>
    <t>SAMUEL OLAWALE</t>
  </si>
  <si>
    <t>Samuel Olawale</t>
  </si>
  <si>
    <t>STU236</t>
  </si>
  <si>
    <t>Chiamaka Ajayi</t>
  </si>
  <si>
    <t>STU237</t>
  </si>
  <si>
    <t>Musa Bakare</t>
  </si>
  <si>
    <t xml:space="preserve">  Musa Bakare</t>
  </si>
  <si>
    <t>STU238</t>
  </si>
  <si>
    <t>Chidi  Kalu</t>
  </si>
  <si>
    <t xml:space="preserve">  Chidi Kalu</t>
  </si>
  <si>
    <t>Chidi Kalu</t>
  </si>
  <si>
    <t>STU239</t>
  </si>
  <si>
    <t>Victoria Nnadi</t>
  </si>
  <si>
    <t>26</t>
  </si>
  <si>
    <t>STU240</t>
  </si>
  <si>
    <t>Precious Suleiman</t>
  </si>
  <si>
    <t>Total</t>
  </si>
  <si>
    <t>Nnamdi Nwankwo</t>
  </si>
  <si>
    <t>Average</t>
  </si>
  <si>
    <t>Grade</t>
  </si>
  <si>
    <t>Class Rank</t>
  </si>
  <si>
    <t>CLASS</t>
  </si>
  <si>
    <t>TERM</t>
  </si>
  <si>
    <t>STUDENTS</t>
  </si>
  <si>
    <t>AVERAGE</t>
  </si>
  <si>
    <t>PASS RATE</t>
  </si>
  <si>
    <t>SUBJECT</t>
  </si>
  <si>
    <t>MATHS</t>
  </si>
  <si>
    <t>ENGLISH</t>
  </si>
  <si>
    <t>BASIC SCIENCE</t>
  </si>
  <si>
    <t>SOCIAL STUDIES</t>
  </si>
  <si>
    <t>COMPUTER SCIENCE</t>
  </si>
  <si>
    <t>CIVIC EDUCATION</t>
  </si>
  <si>
    <t>ALL TERMS AVERAGE</t>
  </si>
  <si>
    <t>FIRST TERM</t>
  </si>
  <si>
    <t>SECOND TERM</t>
  </si>
  <si>
    <t>THIRD TERM</t>
  </si>
  <si>
    <t>CHANGE</t>
  </si>
  <si>
    <t>STUDENT NAME</t>
  </si>
  <si>
    <t>STUDENT ID</t>
  </si>
  <si>
    <t>STATUS</t>
  </si>
  <si>
    <t>Nmamdi Ibrahim</t>
  </si>
  <si>
    <t>Micheal Amadi</t>
  </si>
  <si>
    <t>Improved</t>
  </si>
  <si>
    <t>Dropped</t>
  </si>
  <si>
    <t>Unchanged</t>
  </si>
  <si>
    <t>THIRD TERM AVERAGE</t>
  </si>
  <si>
    <t>1. Comfort Okonkwo</t>
  </si>
  <si>
    <t>2. Daniel Nnadi</t>
  </si>
  <si>
    <t>3.Ibrahim Nwosu</t>
  </si>
  <si>
    <t>4. Nnamdi Ibrahim</t>
  </si>
  <si>
    <t>5. Musa Nwankwo</t>
  </si>
  <si>
    <t>Row Labels</t>
  </si>
  <si>
    <t>Grand Total</t>
  </si>
  <si>
    <t>Column Labels</t>
  </si>
  <si>
    <t>Average of AVERAGE</t>
  </si>
  <si>
    <t>Sum of ALL TERMS AVERAGE</t>
  </si>
  <si>
    <t xml:space="preserve">IMPROVEMENT </t>
  </si>
  <si>
    <t>THIRD TERM PASS RATE</t>
  </si>
  <si>
    <t>Average of Civic Education</t>
  </si>
  <si>
    <t>Average of Computer Studies</t>
  </si>
  <si>
    <t>Average of Basic Science</t>
  </si>
  <si>
    <t>Average of Social Studies</t>
  </si>
  <si>
    <t>Average of Maths</t>
  </si>
  <si>
    <t>Average of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</si>
</sst>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1"/>
      <color rgb="FFFFFFFF"/>
      <name val="Arial"/>
    </font>
    <font>
      <sz val="10"/>
      <name val="Arial"/>
    </font>
    <font>
      <b/>
      <sz val="11"/>
      <color rgb="FFFFFFFF"/>
      <name val="Arial"/>
      <family val="2"/>
    </font>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s>
  <fills count="10">
    <fill>
      <patternFill patternType="none"/>
    </fill>
    <fill>
      <patternFill patternType="gray125"/>
    </fill>
    <fill>
      <patternFill patternType="solid">
        <fgColor rgb="FF1F4E79"/>
      </patternFill>
    </fill>
    <fill>
      <patternFill patternType="solid">
        <fgColor rgb="FF1F4E79"/>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bgColor theme="4" tint="0.59999389629810485"/>
      </patternFill>
    </fill>
    <fill>
      <patternFill patternType="solid">
        <fgColor theme="0"/>
        <bgColor theme="4" tint="0.79998168889431442"/>
      </patternFill>
    </fill>
    <fill>
      <patternFill patternType="solid">
        <fgColor rgb="FFF3F6FA"/>
        <bgColor indexed="64"/>
      </patternFill>
    </fill>
    <fill>
      <patternFill patternType="solid">
        <fgColor theme="4" tint="0.79998168889431442"/>
        <bgColor indexed="64"/>
      </patternFill>
    </fill>
  </fills>
  <borders count="5">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s>
  <cellStyleXfs count="2">
    <xf numFmtId="0" fontId="0" fillId="0" borderId="0"/>
    <xf numFmtId="9" fontId="4" fillId="0" borderId="0" applyFont="0" applyFill="0" applyBorder="0" applyAlignment="0" applyProtection="0"/>
  </cellStyleXfs>
  <cellXfs count="32">
    <xf numFmtId="0" fontId="0" fillId="0" borderId="0" xfId="0"/>
    <xf numFmtId="0" fontId="1" fillId="2" borderId="0" xfId="0" applyFont="1" applyFill="1" applyAlignment="1">
      <alignment horizontal="center" vertical="center" wrapText="1"/>
    </xf>
    <xf numFmtId="0" fontId="2" fillId="0" borderId="0" xfId="0" applyFont="1"/>
    <xf numFmtId="164" fontId="1" fillId="2" borderId="0" xfId="0" applyNumberFormat="1" applyFont="1" applyFill="1" applyAlignment="1">
      <alignment horizontal="center" vertical="center" wrapText="1"/>
    </xf>
    <xf numFmtId="164" fontId="0" fillId="0" borderId="0" xfId="0" applyNumberFormat="1"/>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9" fontId="0" fillId="0" borderId="0" xfId="1" applyFont="1"/>
    <xf numFmtId="0" fontId="2" fillId="4" borderId="1" xfId="0" applyFont="1" applyFill="1" applyBorder="1"/>
    <xf numFmtId="0" fontId="2" fillId="5" borderId="1" xfId="0" applyFont="1" applyFill="1" applyBorder="1"/>
    <xf numFmtId="0" fontId="1" fillId="3" borderId="0" xfId="0" applyFont="1" applyFill="1" applyAlignment="1">
      <alignment horizontal="center" vertical="center" wrapText="1"/>
    </xf>
    <xf numFmtId="164" fontId="0" fillId="4" borderId="2" xfId="0" applyNumberFormat="1" applyFill="1" applyBorder="1"/>
    <xf numFmtId="164" fontId="0" fillId="5" borderId="2" xfId="0" applyNumberFormat="1" applyFill="1" applyBorder="1"/>
    <xf numFmtId="164" fontId="0" fillId="6" borderId="2" xfId="0" applyNumberFormat="1" applyFill="1" applyBorder="1"/>
    <xf numFmtId="164" fontId="0" fillId="7" borderId="2" xfId="0" applyNumberFormat="1" applyFill="1" applyBorder="1"/>
    <xf numFmtId="0" fontId="2" fillId="6" borderId="2" xfId="0" applyFont="1" applyFill="1" applyBorder="1"/>
    <xf numFmtId="0" fontId="6" fillId="0" borderId="0" xfId="0" applyFont="1"/>
    <xf numFmtId="0" fontId="7" fillId="4" borderId="1" xfId="0" applyFont="1" applyFill="1" applyBorder="1"/>
    <xf numFmtId="0" fontId="7" fillId="4" borderId="2" xfId="0" applyFont="1" applyFill="1" applyBorder="1"/>
    <xf numFmtId="0" fontId="7" fillId="5" borderId="1" xfId="0" applyFont="1" applyFill="1" applyBorder="1"/>
    <xf numFmtId="0" fontId="7" fillId="5" borderId="2" xfId="0" applyFont="1" applyFill="1" applyBorder="1"/>
    <xf numFmtId="0" fontId="7" fillId="5" borderId="3" xfId="0" applyFont="1" applyFill="1" applyBorder="1"/>
    <xf numFmtId="0" fontId="7" fillId="5" borderId="4" xfId="0" applyFont="1" applyFill="1" applyBorder="1"/>
    <xf numFmtId="0" fontId="7" fillId="0" borderId="0" xfId="0" applyFont="1"/>
    <xf numFmtId="164" fontId="0" fillId="5" borderId="4" xfId="0" applyNumberFormat="1" applyFill="1" applyBorder="1"/>
    <xf numFmtId="0" fontId="0" fillId="0" borderId="0" xfId="0" pivotButton="1"/>
    <xf numFmtId="0" fontId="0" fillId="0" borderId="0" xfId="0" applyAlignment="1">
      <alignment horizontal="left"/>
    </xf>
    <xf numFmtId="0" fontId="0" fillId="8" borderId="0" xfId="0" applyFill="1"/>
    <xf numFmtId="0" fontId="5" fillId="8" borderId="0" xfId="0" applyFont="1" applyFill="1"/>
    <xf numFmtId="9" fontId="0" fillId="0" borderId="0" xfId="0" applyNumberFormat="1"/>
    <xf numFmtId="0" fontId="0" fillId="9" borderId="0" xfId="0" applyFill="1"/>
    <xf numFmtId="0" fontId="6" fillId="9" borderId="0" xfId="0" applyFont="1" applyFill="1"/>
  </cellXfs>
  <cellStyles count="2">
    <cellStyle name="Normal" xfId="0" builtinId="0"/>
    <cellStyle name="Per cent" xfId="1" builtinId="5"/>
  </cellStyles>
  <dxfs count="41">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164" formatCode="0.0"/>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numFmt numFmtId="164" formatCode="0.0"/>
    </dxf>
    <dxf>
      <numFmt numFmtId="164" formatCode="0.0"/>
    </dxf>
    <dxf>
      <numFmt numFmtId="164" formatCode="0.0"/>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indexed="64"/>
          <bgColor rgb="FF1F4E79"/>
        </patternFill>
      </fill>
      <alignment horizontal="center" vertical="center" textRotation="0" wrapText="1" indent="0" justifyLastLine="0" shrinkToFit="0" readingOrder="0"/>
    </dxf>
    <dxf>
      <numFmt numFmtId="13" formatCode="0%"/>
    </dxf>
    <dxf>
      <font>
        <b val="0"/>
        <i val="0"/>
        <strike val="0"/>
        <condense val="0"/>
        <extend val="0"/>
        <outline val="0"/>
        <shadow val="0"/>
        <u val="none"/>
        <vertAlign val="baseline"/>
        <sz val="11"/>
        <color theme="1"/>
        <name val="Calibri"/>
        <family val="2"/>
        <scheme val="minor"/>
      </font>
    </dxf>
    <dxf>
      <numFmt numFmtId="164" formatCode="0.0"/>
    </dxf>
  </dxfs>
  <tableStyles count="0" defaultTableStyle="TableStyleMedium9" defaultPivotStyle="PivotStyleLight16"/>
  <colors>
    <mruColors>
      <color rgb="FF142D4E"/>
      <color rgb="FFF2C14E"/>
      <color rgb="FF4472C4"/>
      <color rgb="FF20A39E"/>
      <color rgb="FFF3F6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[Results_OligbiPatience.xlsx]Class Summary !PivotTable1</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rgbClr val="002060"/>
                </a:solidFill>
              </a:rPr>
              <a:t>CLASS</a:t>
            </a:r>
            <a:r>
              <a:rPr lang="en-US" sz="1800" b="1" baseline="0">
                <a:solidFill>
                  <a:srgbClr val="002060"/>
                </a:solidFill>
              </a:rPr>
              <a:t> AVERAGE BY TERM</a:t>
            </a:r>
            <a:endParaRPr lang="en-US" sz="1800" b="1">
              <a:solidFill>
                <a:srgbClr val="00206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0A3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2C1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'Class Summary '!$N$4:$N$5</c:f>
              <c:strCache>
                <c:ptCount val="1"/>
                <c:pt idx="0">
                  <c:v>First Term</c:v>
                </c:pt>
              </c:strCache>
            </c:strRef>
          </c:tx>
          <c:spPr>
            <a:solidFill>
              <a:srgbClr val="20A39E"/>
            </a:solidFill>
            <a:ln>
              <a:noFill/>
            </a:ln>
            <a:effectLst/>
          </c:spPr>
          <c:invertIfNegative val="0"/>
          <c:cat>
            <c:strRef>
              <c:f>'Class Summary '!$M$6:$M$12</c:f>
              <c:strCache>
                <c:ptCount val="6"/>
                <c:pt idx="0">
                  <c:v>JSS1A</c:v>
                </c:pt>
                <c:pt idx="1">
                  <c:v>JSS1B</c:v>
                </c:pt>
                <c:pt idx="2">
                  <c:v>JSS2A</c:v>
                </c:pt>
                <c:pt idx="3">
                  <c:v>JSS2B</c:v>
                </c:pt>
                <c:pt idx="4">
                  <c:v>JSS3A</c:v>
                </c:pt>
                <c:pt idx="5">
                  <c:v>JSS3B</c:v>
                </c:pt>
              </c:strCache>
            </c:strRef>
          </c:cat>
          <c:val>
            <c:numRef>
              <c:f>'Class Summary '!$N$6:$N$12</c:f>
              <c:numCache>
                <c:formatCode>0.0</c:formatCode>
                <c:ptCount val="6"/>
                <c:pt idx="0">
                  <c:v>60.008333333333347</c:v>
                </c:pt>
                <c:pt idx="1">
                  <c:v>59.189583333333346</c:v>
                </c:pt>
                <c:pt idx="2">
                  <c:v>61.479166666666664</c:v>
                </c:pt>
                <c:pt idx="3">
                  <c:v>61.579166666666666</c:v>
                </c:pt>
                <c:pt idx="4">
                  <c:v>57.662499999999987</c:v>
                </c:pt>
                <c:pt idx="5">
                  <c:v>60.67499999999999</c:v>
                </c:pt>
              </c:numCache>
            </c:numRef>
          </c:val>
          <c:extLst>
            <c:ext xmlns:c16="http://schemas.microsoft.com/office/drawing/2014/chart" uri="{C3380CC4-5D6E-409C-BE32-E72D297353CC}">
              <c16:uniqueId val="{00000000-B4E4-4019-ABFE-9B137B8CE07E}"/>
            </c:ext>
          </c:extLst>
        </c:ser>
        <c:ser>
          <c:idx val="1"/>
          <c:order val="1"/>
          <c:tx>
            <c:strRef>
              <c:f>'Class Summary '!$O$4:$O$5</c:f>
              <c:strCache>
                <c:ptCount val="1"/>
                <c:pt idx="0">
                  <c:v>Second Term</c:v>
                </c:pt>
              </c:strCache>
            </c:strRef>
          </c:tx>
          <c:spPr>
            <a:solidFill>
              <a:srgbClr val="4472C4"/>
            </a:solidFill>
            <a:ln>
              <a:noFill/>
            </a:ln>
            <a:effectLst/>
          </c:spPr>
          <c:invertIfNegative val="0"/>
          <c:cat>
            <c:strRef>
              <c:f>'Class Summary '!$M$6:$M$12</c:f>
              <c:strCache>
                <c:ptCount val="6"/>
                <c:pt idx="0">
                  <c:v>JSS1A</c:v>
                </c:pt>
                <c:pt idx="1">
                  <c:v>JSS1B</c:v>
                </c:pt>
                <c:pt idx="2">
                  <c:v>JSS2A</c:v>
                </c:pt>
                <c:pt idx="3">
                  <c:v>JSS2B</c:v>
                </c:pt>
                <c:pt idx="4">
                  <c:v>JSS3A</c:v>
                </c:pt>
                <c:pt idx="5">
                  <c:v>JSS3B</c:v>
                </c:pt>
              </c:strCache>
            </c:strRef>
          </c:cat>
          <c:val>
            <c:numRef>
              <c:f>'Class Summary '!$O$6:$O$12</c:f>
              <c:numCache>
                <c:formatCode>0.0</c:formatCode>
                <c:ptCount val="6"/>
                <c:pt idx="0">
                  <c:v>61.95</c:v>
                </c:pt>
                <c:pt idx="1">
                  <c:v>61.691666666666677</c:v>
                </c:pt>
                <c:pt idx="2">
                  <c:v>64.299166666666665</c:v>
                </c:pt>
                <c:pt idx="3">
                  <c:v>63.541666666666664</c:v>
                </c:pt>
                <c:pt idx="4">
                  <c:v>59.975000000000009</c:v>
                </c:pt>
                <c:pt idx="5">
                  <c:v>63.465833333333329</c:v>
                </c:pt>
              </c:numCache>
            </c:numRef>
          </c:val>
          <c:extLst>
            <c:ext xmlns:c16="http://schemas.microsoft.com/office/drawing/2014/chart" uri="{C3380CC4-5D6E-409C-BE32-E72D297353CC}">
              <c16:uniqueId val="{00000001-B4E4-4019-ABFE-9B137B8CE07E}"/>
            </c:ext>
          </c:extLst>
        </c:ser>
        <c:ser>
          <c:idx val="2"/>
          <c:order val="2"/>
          <c:tx>
            <c:strRef>
              <c:f>'Class Summary '!$P$4:$P$5</c:f>
              <c:strCache>
                <c:ptCount val="1"/>
                <c:pt idx="0">
                  <c:v>Third Term</c:v>
                </c:pt>
              </c:strCache>
            </c:strRef>
          </c:tx>
          <c:spPr>
            <a:solidFill>
              <a:srgbClr val="F2C14E"/>
            </a:solidFill>
            <a:ln>
              <a:noFill/>
            </a:ln>
            <a:effectLst/>
          </c:spPr>
          <c:invertIfNegative val="0"/>
          <c:cat>
            <c:strRef>
              <c:f>'Class Summary '!$M$6:$M$12</c:f>
              <c:strCache>
                <c:ptCount val="6"/>
                <c:pt idx="0">
                  <c:v>JSS1A</c:v>
                </c:pt>
                <c:pt idx="1">
                  <c:v>JSS1B</c:v>
                </c:pt>
                <c:pt idx="2">
                  <c:v>JSS2A</c:v>
                </c:pt>
                <c:pt idx="3">
                  <c:v>JSS2B</c:v>
                </c:pt>
                <c:pt idx="4">
                  <c:v>JSS3A</c:v>
                </c:pt>
                <c:pt idx="5">
                  <c:v>JSS3B</c:v>
                </c:pt>
              </c:strCache>
            </c:strRef>
          </c:cat>
          <c:val>
            <c:numRef>
              <c:f>'Class Summary '!$P$6:$P$12</c:f>
              <c:numCache>
                <c:formatCode>0.0</c:formatCode>
                <c:ptCount val="6"/>
                <c:pt idx="0">
                  <c:v>63.168333333333337</c:v>
                </c:pt>
                <c:pt idx="1">
                  <c:v>63.540000000000006</c:v>
                </c:pt>
                <c:pt idx="2">
                  <c:v>65.5625</c:v>
                </c:pt>
                <c:pt idx="3">
                  <c:v>64.925000000000011</c:v>
                </c:pt>
                <c:pt idx="4">
                  <c:v>62.65</c:v>
                </c:pt>
                <c:pt idx="5">
                  <c:v>66.724999999999994</c:v>
                </c:pt>
              </c:numCache>
            </c:numRef>
          </c:val>
          <c:extLst>
            <c:ext xmlns:c16="http://schemas.microsoft.com/office/drawing/2014/chart" uri="{C3380CC4-5D6E-409C-BE32-E72D297353CC}">
              <c16:uniqueId val="{00000002-B4E4-4019-ABFE-9B137B8CE07E}"/>
            </c:ext>
          </c:extLst>
        </c:ser>
        <c:dLbls>
          <c:showLegendKey val="0"/>
          <c:showVal val="0"/>
          <c:showCatName val="0"/>
          <c:showSerName val="0"/>
          <c:showPercent val="0"/>
          <c:showBubbleSize val="0"/>
        </c:dLbls>
        <c:gapWidth val="219"/>
        <c:overlap val="-27"/>
        <c:axId val="978182031"/>
        <c:axId val="1432312111"/>
      </c:barChart>
      <c:catAx>
        <c:axId val="978182031"/>
        <c:scaling>
          <c:orientation val="minMax"/>
        </c:scaling>
        <c:delete val="0"/>
        <c:axPos val="b"/>
        <c:title>
          <c:tx>
            <c:rich>
              <a:bodyPr rot="0" spcFirstLastPara="1" vertOverflow="ellipsis" vert="horz" wrap="square" anchor="ctr" anchorCtr="1"/>
              <a:lstStyle/>
              <a:p>
                <a:pPr>
                  <a:defRPr sz="1000" b="1" i="0" u="none" strike="noStrike" kern="1200" baseline="0">
                    <a:solidFill>
                      <a:srgbClr val="142D4E"/>
                    </a:solidFill>
                    <a:latin typeface="+mn-lt"/>
                    <a:ea typeface="+mn-ea"/>
                    <a:cs typeface="+mn-cs"/>
                  </a:defRPr>
                </a:pPr>
                <a:r>
                  <a:rPr lang="en-US" b="1">
                    <a:solidFill>
                      <a:srgbClr val="142D4E"/>
                    </a:solidFill>
                  </a:rPr>
                  <a:t>Class</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142D4E"/>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42D4E"/>
                </a:solidFill>
                <a:latin typeface="+mn-lt"/>
                <a:ea typeface="+mn-ea"/>
                <a:cs typeface="+mn-cs"/>
              </a:defRPr>
            </a:pPr>
            <a:endParaRPr lang="en-NG"/>
          </a:p>
        </c:txPr>
        <c:crossAx val="1432312111"/>
        <c:crosses val="autoZero"/>
        <c:auto val="1"/>
        <c:lblAlgn val="ctr"/>
        <c:lblOffset val="100"/>
        <c:noMultiLvlLbl val="0"/>
      </c:catAx>
      <c:valAx>
        <c:axId val="1432312111"/>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142D4E"/>
                    </a:solidFill>
                    <a:latin typeface="+mn-lt"/>
                    <a:ea typeface="+mn-ea"/>
                    <a:cs typeface="+mn-cs"/>
                  </a:defRPr>
                </a:pPr>
                <a:r>
                  <a:rPr lang="en-US" b="1">
                    <a:solidFill>
                      <a:srgbClr val="142D4E"/>
                    </a:solidFill>
                  </a:rPr>
                  <a:t>Average</a:t>
                </a:r>
                <a:r>
                  <a:rPr lang="en-US" b="1" baseline="0">
                    <a:solidFill>
                      <a:srgbClr val="142D4E"/>
                    </a:solidFill>
                  </a:rPr>
                  <a:t> Score</a:t>
                </a:r>
                <a:endParaRPr lang="en-US" b="1">
                  <a:solidFill>
                    <a:srgbClr val="142D4E"/>
                  </a:solidFill>
                </a:endParaRPr>
              </a:p>
            </c:rich>
          </c:tx>
          <c:layout>
            <c:manualLayout>
              <c:xMode val="edge"/>
              <c:yMode val="edge"/>
              <c:x val="3.7878712073201919E-2"/>
              <c:y val="0.2530935274563196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142D4E"/>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20" b="1" i="0" u="none" strike="noStrike" kern="1200" baseline="0">
                <a:solidFill>
                  <a:schemeClr val="tx1"/>
                </a:solidFill>
                <a:latin typeface="+mn-lt"/>
                <a:ea typeface="+mn-ea"/>
                <a:cs typeface="+mn-cs"/>
              </a:defRPr>
            </a:pPr>
            <a:endParaRPr lang="en-NG"/>
          </a:p>
        </c:txPr>
        <c:crossAx val="978182031"/>
        <c:crosses val="autoZero"/>
        <c:crossBetween val="between"/>
      </c:valAx>
      <c:spPr>
        <a:noFill/>
        <a:ln>
          <a:noFill/>
        </a:ln>
        <a:effectLst/>
      </c:spPr>
    </c:plotArea>
    <c:legend>
      <c:legendPos val="r"/>
      <c:layout>
        <c:manualLayout>
          <c:xMode val="edge"/>
          <c:yMode val="edge"/>
          <c:x val="0.10179917775764753"/>
          <c:y val="0.8915254436479022"/>
          <c:w val="0.87696188418925514"/>
          <c:h val="8.1591843929956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42D4E"/>
      </a:solidFill>
      <a:round/>
    </a:ln>
    <a:effectLst>
      <a:outerShdw blurRad="50800" dist="38100" dir="13500000" algn="b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[Results_OligbiPatience.xlsx]Subjects!PivotTable2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142D4E"/>
                </a:solidFill>
              </a:rPr>
              <a:t>AVERAGE</a:t>
            </a:r>
            <a:r>
              <a:rPr lang="en-US" baseline="0">
                <a:solidFill>
                  <a:srgbClr val="142D4E"/>
                </a:solidFill>
              </a:rPr>
              <a:t> SCORE BY SUBJECT</a:t>
            </a:r>
            <a:endParaRPr lang="en-US">
              <a:solidFill>
                <a:srgbClr val="142D4E"/>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0A39E"/>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42D4E"/>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Subjects!$K$4</c:f>
              <c:strCache>
                <c:ptCount val="1"/>
                <c:pt idx="0">
                  <c:v>Total</c:v>
                </c:pt>
              </c:strCache>
            </c:strRef>
          </c:tx>
          <c:spPr>
            <a:solidFill>
              <a:srgbClr val="20A39E"/>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42D4E"/>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Subjects!$J$5:$J$11</c:f>
              <c:strCache>
                <c:ptCount val="6"/>
                <c:pt idx="0">
                  <c:v>MATHS</c:v>
                </c:pt>
                <c:pt idx="1">
                  <c:v>BASIC SCIENCE</c:v>
                </c:pt>
                <c:pt idx="2">
                  <c:v>ENGLISH</c:v>
                </c:pt>
                <c:pt idx="3">
                  <c:v>SOCIAL STUDIES</c:v>
                </c:pt>
                <c:pt idx="4">
                  <c:v>COMPUTER SCIENCE</c:v>
                </c:pt>
                <c:pt idx="5">
                  <c:v>CIVIC EDUCATION</c:v>
                </c:pt>
              </c:strCache>
            </c:strRef>
          </c:cat>
          <c:val>
            <c:numRef>
              <c:f>Subjects!$K$5:$K$11</c:f>
              <c:numCache>
                <c:formatCode>0.0</c:formatCode>
                <c:ptCount val="6"/>
                <c:pt idx="0">
                  <c:v>55.414464534075101</c:v>
                </c:pt>
                <c:pt idx="1">
                  <c:v>59.437150837988824</c:v>
                </c:pt>
                <c:pt idx="2">
                  <c:v>61.453910614525142</c:v>
                </c:pt>
                <c:pt idx="3">
                  <c:v>64.763560500695405</c:v>
                </c:pt>
                <c:pt idx="4">
                  <c:v>65.607242339832865</c:v>
                </c:pt>
                <c:pt idx="5">
                  <c:v>67.319444444444443</c:v>
                </c:pt>
              </c:numCache>
            </c:numRef>
          </c:val>
          <c:extLst>
            <c:ext xmlns:c16="http://schemas.microsoft.com/office/drawing/2014/chart" uri="{C3380CC4-5D6E-409C-BE32-E72D297353CC}">
              <c16:uniqueId val="{00000000-B26A-457A-AC06-C8C953E7306A}"/>
            </c:ext>
          </c:extLst>
        </c:ser>
        <c:dLbls>
          <c:dLblPos val="inEnd"/>
          <c:showLegendKey val="0"/>
          <c:showVal val="1"/>
          <c:showCatName val="0"/>
          <c:showSerName val="0"/>
          <c:showPercent val="0"/>
          <c:showBubbleSize val="0"/>
        </c:dLbls>
        <c:gapWidth val="65"/>
        <c:axId val="1242221567"/>
        <c:axId val="1432302511"/>
      </c:barChart>
      <c:catAx>
        <c:axId val="12422215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rgbClr val="142D4E"/>
                </a:solidFill>
                <a:latin typeface="+mn-lt"/>
                <a:ea typeface="+mn-ea"/>
                <a:cs typeface="+mn-cs"/>
              </a:defRPr>
            </a:pPr>
            <a:endParaRPr lang="en-NG"/>
          </a:p>
        </c:txPr>
        <c:crossAx val="1432302511"/>
        <c:crosses val="autoZero"/>
        <c:auto val="1"/>
        <c:lblAlgn val="ctr"/>
        <c:lblOffset val="100"/>
        <c:noMultiLvlLbl val="0"/>
      </c:catAx>
      <c:valAx>
        <c:axId val="1432302511"/>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crossAx val="124222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42D4E"/>
      </a:solidFill>
      <a:round/>
    </a:ln>
    <a:effectLst>
      <a:outerShdw blurRad="50800" dist="38100" dir="13500000" algn="b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142D4E"/>
                </a:solidFill>
              </a:rPr>
              <a:t>THIRD TERM PASS RATE BY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'Class Summary '!$H$1</c:f>
              <c:strCache>
                <c:ptCount val="1"/>
                <c:pt idx="0">
                  <c:v>THIRD TERM PASS RATE</c:v>
                </c:pt>
              </c:strCache>
            </c:strRef>
          </c:tx>
          <c:spPr>
            <a:solidFill>
              <a:srgbClr val="20A39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42D4E"/>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 '!$G$2:$G$7</c:f>
              <c:strCache>
                <c:ptCount val="6"/>
                <c:pt idx="0">
                  <c:v>JSS1A</c:v>
                </c:pt>
                <c:pt idx="1">
                  <c:v>JSS1B</c:v>
                </c:pt>
                <c:pt idx="2">
                  <c:v>JSS2A</c:v>
                </c:pt>
                <c:pt idx="3">
                  <c:v>JSS2B</c:v>
                </c:pt>
                <c:pt idx="4">
                  <c:v>JSS3A</c:v>
                </c:pt>
                <c:pt idx="5">
                  <c:v>JSS3B</c:v>
                </c:pt>
              </c:strCache>
            </c:strRef>
          </c:cat>
          <c:val>
            <c:numRef>
              <c:f>'Class Summary '!$H$2:$H$7</c:f>
              <c:numCache>
                <c:formatCode>0%</c:formatCode>
                <c:ptCount val="6"/>
                <c:pt idx="0">
                  <c:v>0.9</c:v>
                </c:pt>
                <c:pt idx="1">
                  <c:v>0.9</c:v>
                </c:pt>
                <c:pt idx="2">
                  <c:v>0.85</c:v>
                </c:pt>
                <c:pt idx="3">
                  <c:v>0.85</c:v>
                </c:pt>
                <c:pt idx="4">
                  <c:v>0.8</c:v>
                </c:pt>
                <c:pt idx="5">
                  <c:v>0.9</c:v>
                </c:pt>
              </c:numCache>
            </c:numRef>
          </c:val>
          <c:extLst>
            <c:ext xmlns:c16="http://schemas.microsoft.com/office/drawing/2014/chart" uri="{C3380CC4-5D6E-409C-BE32-E72D297353CC}">
              <c16:uniqueId val="{00000000-3136-417D-8AB4-40DF1127CB22}"/>
            </c:ext>
          </c:extLst>
        </c:ser>
        <c:dLbls>
          <c:dLblPos val="outEnd"/>
          <c:showLegendKey val="0"/>
          <c:showVal val="1"/>
          <c:showCatName val="0"/>
          <c:showSerName val="0"/>
          <c:showPercent val="0"/>
          <c:showBubbleSize val="0"/>
        </c:dLbls>
        <c:gapWidth val="219"/>
        <c:overlap val="-27"/>
        <c:axId val="1718209056"/>
        <c:axId val="1648854160"/>
      </c:barChart>
      <c:catAx>
        <c:axId val="1718209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142D4E"/>
                    </a:solidFill>
                  </a:rPr>
                  <a:t>Class</a:t>
                </a:r>
              </a:p>
            </c:rich>
          </c:tx>
          <c:layout>
            <c:manualLayout>
              <c:xMode val="edge"/>
              <c:yMode val="edge"/>
              <c:x val="0.42557348444828635"/>
              <c:y val="0.844976736727125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42D4E"/>
                </a:solidFill>
                <a:latin typeface="+mn-lt"/>
                <a:ea typeface="+mn-ea"/>
                <a:cs typeface="+mn-cs"/>
              </a:defRPr>
            </a:pPr>
            <a:endParaRPr lang="en-NG"/>
          </a:p>
        </c:txPr>
        <c:crossAx val="1648854160"/>
        <c:crosses val="autoZero"/>
        <c:auto val="1"/>
        <c:lblAlgn val="ctr"/>
        <c:lblOffset val="100"/>
        <c:noMultiLvlLbl val="0"/>
      </c:catAx>
      <c:valAx>
        <c:axId val="16488541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142D4E"/>
                    </a:solidFill>
                  </a:rPr>
                  <a:t>Percentage</a:t>
                </a:r>
                <a:r>
                  <a:rPr lang="en-US" b="1" baseline="0">
                    <a:solidFill>
                      <a:srgbClr val="142D4E"/>
                    </a:solidFill>
                  </a:rPr>
                  <a:t> Score</a:t>
                </a:r>
                <a:endParaRPr lang="en-US" b="1">
                  <a:solidFill>
                    <a:srgbClr val="142D4E"/>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42D4E"/>
                </a:solidFill>
                <a:latin typeface="+mn-lt"/>
                <a:ea typeface="+mn-ea"/>
                <a:cs typeface="+mn-cs"/>
              </a:defRPr>
            </a:pPr>
            <a:endParaRPr lang="en-NG"/>
          </a:p>
        </c:txPr>
        <c:crossAx val="1718209056"/>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142D4E"/>
      </a:solidFill>
      <a:round/>
    </a:ln>
    <a:effectLst>
      <a:outerShdw blurRad="50800" dist="38100" dir="13500000" algn="br" rotWithShape="0">
        <a:prstClr val="black">
          <a:alpha val="40000"/>
        </a:prstClr>
      </a:outerShdw>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[Results_OligbiPatience.xlsx]Subjects!PivotTable4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AVERAGE</a:t>
            </a:r>
            <a:r>
              <a:rPr lang="en-US" sz="1800" b="1" baseline="0">
                <a:solidFill>
                  <a:schemeClr val="tx1"/>
                </a:solidFill>
              </a:rPr>
              <a:t> SUBJECT SCORE BY CLASS</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20A3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2C1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Subjects!$B$16</c:f>
              <c:strCache>
                <c:ptCount val="1"/>
                <c:pt idx="0">
                  <c:v>Average of Civic Education</c:v>
                </c:pt>
              </c:strCache>
            </c:strRef>
          </c:tx>
          <c:spPr>
            <a:solidFill>
              <a:srgbClr val="20A39E"/>
            </a:solidFill>
            <a:ln>
              <a:noFill/>
            </a:ln>
            <a:effectLst/>
          </c:spPr>
          <c:invertIfNegative val="0"/>
          <c:cat>
            <c:strRef>
              <c:f>Subjects!$A$17:$A$18</c:f>
              <c:strCache>
                <c:ptCount val="1"/>
                <c:pt idx="0">
                  <c:v>JSS1A</c:v>
                </c:pt>
              </c:strCache>
            </c:strRef>
          </c:cat>
          <c:val>
            <c:numRef>
              <c:f>Subjects!$B$17:$B$18</c:f>
              <c:numCache>
                <c:formatCode>0.0</c:formatCode>
                <c:ptCount val="1"/>
                <c:pt idx="0">
                  <c:v>66.375</c:v>
                </c:pt>
              </c:numCache>
            </c:numRef>
          </c:val>
          <c:extLst>
            <c:ext xmlns:c16="http://schemas.microsoft.com/office/drawing/2014/chart" uri="{C3380CC4-5D6E-409C-BE32-E72D297353CC}">
              <c16:uniqueId val="{00000000-02EF-4E2A-8A55-99FE3D68C32B}"/>
            </c:ext>
          </c:extLst>
        </c:ser>
        <c:ser>
          <c:idx val="1"/>
          <c:order val="1"/>
          <c:tx>
            <c:strRef>
              <c:f>Subjects!$C$16</c:f>
              <c:strCache>
                <c:ptCount val="1"/>
                <c:pt idx="0">
                  <c:v>Average of Computer Studies</c:v>
                </c:pt>
              </c:strCache>
            </c:strRef>
          </c:tx>
          <c:spPr>
            <a:solidFill>
              <a:srgbClr val="4472C4"/>
            </a:solidFill>
            <a:ln>
              <a:noFill/>
            </a:ln>
            <a:effectLst/>
          </c:spPr>
          <c:invertIfNegative val="0"/>
          <c:cat>
            <c:strRef>
              <c:f>Subjects!$A$17:$A$18</c:f>
              <c:strCache>
                <c:ptCount val="1"/>
                <c:pt idx="0">
                  <c:v>JSS1A</c:v>
                </c:pt>
              </c:strCache>
            </c:strRef>
          </c:cat>
          <c:val>
            <c:numRef>
              <c:f>Subjects!$C$17:$C$18</c:f>
              <c:numCache>
                <c:formatCode>0.0</c:formatCode>
                <c:ptCount val="1"/>
                <c:pt idx="0">
                  <c:v>65.5</c:v>
                </c:pt>
              </c:numCache>
            </c:numRef>
          </c:val>
          <c:extLst>
            <c:ext xmlns:c16="http://schemas.microsoft.com/office/drawing/2014/chart" uri="{C3380CC4-5D6E-409C-BE32-E72D297353CC}">
              <c16:uniqueId val="{00000001-02EF-4E2A-8A55-99FE3D68C32B}"/>
            </c:ext>
          </c:extLst>
        </c:ser>
        <c:ser>
          <c:idx val="2"/>
          <c:order val="2"/>
          <c:tx>
            <c:strRef>
              <c:f>Subjects!$D$16</c:f>
              <c:strCache>
                <c:ptCount val="1"/>
                <c:pt idx="0">
                  <c:v>Average of Basic Science</c:v>
                </c:pt>
              </c:strCache>
            </c:strRef>
          </c:tx>
          <c:spPr>
            <a:solidFill>
              <a:srgbClr val="F2C14E"/>
            </a:solidFill>
            <a:ln>
              <a:noFill/>
            </a:ln>
            <a:effectLst/>
          </c:spPr>
          <c:invertIfNegative val="0"/>
          <c:cat>
            <c:strRef>
              <c:f>Subjects!$A$17:$A$18</c:f>
              <c:strCache>
                <c:ptCount val="1"/>
                <c:pt idx="0">
                  <c:v>JSS1A</c:v>
                </c:pt>
              </c:strCache>
            </c:strRef>
          </c:cat>
          <c:val>
            <c:numRef>
              <c:f>Subjects!$D$17:$D$18</c:f>
              <c:numCache>
                <c:formatCode>0.0</c:formatCode>
                <c:ptCount val="1"/>
                <c:pt idx="0">
                  <c:v>59.1</c:v>
                </c:pt>
              </c:numCache>
            </c:numRef>
          </c:val>
          <c:extLst>
            <c:ext xmlns:c16="http://schemas.microsoft.com/office/drawing/2014/chart" uri="{C3380CC4-5D6E-409C-BE32-E72D297353CC}">
              <c16:uniqueId val="{00000002-02EF-4E2A-8A55-99FE3D68C32B}"/>
            </c:ext>
          </c:extLst>
        </c:ser>
        <c:ser>
          <c:idx val="3"/>
          <c:order val="3"/>
          <c:tx>
            <c:strRef>
              <c:f>Subjects!$E$16</c:f>
              <c:strCache>
                <c:ptCount val="1"/>
                <c:pt idx="0">
                  <c:v>Average of Social Studies</c:v>
                </c:pt>
              </c:strCache>
            </c:strRef>
          </c:tx>
          <c:spPr>
            <a:solidFill>
              <a:srgbClr val="7030A0"/>
            </a:solidFill>
            <a:ln>
              <a:noFill/>
            </a:ln>
            <a:effectLst/>
          </c:spPr>
          <c:invertIfNegative val="0"/>
          <c:cat>
            <c:strRef>
              <c:f>Subjects!$A$17:$A$18</c:f>
              <c:strCache>
                <c:ptCount val="1"/>
                <c:pt idx="0">
                  <c:v>JSS1A</c:v>
                </c:pt>
              </c:strCache>
            </c:strRef>
          </c:cat>
          <c:val>
            <c:numRef>
              <c:f>Subjects!$E$17:$E$18</c:f>
              <c:numCache>
                <c:formatCode>0.0</c:formatCode>
                <c:ptCount val="1"/>
                <c:pt idx="0">
                  <c:v>65.724999999999994</c:v>
                </c:pt>
              </c:numCache>
            </c:numRef>
          </c:val>
          <c:extLst>
            <c:ext xmlns:c16="http://schemas.microsoft.com/office/drawing/2014/chart" uri="{C3380CC4-5D6E-409C-BE32-E72D297353CC}">
              <c16:uniqueId val="{00000003-02EF-4E2A-8A55-99FE3D68C32B}"/>
            </c:ext>
          </c:extLst>
        </c:ser>
        <c:ser>
          <c:idx val="4"/>
          <c:order val="4"/>
          <c:tx>
            <c:strRef>
              <c:f>Subjects!$F$16</c:f>
              <c:strCache>
                <c:ptCount val="1"/>
                <c:pt idx="0">
                  <c:v>Average of Maths</c:v>
                </c:pt>
              </c:strCache>
            </c:strRef>
          </c:tx>
          <c:spPr>
            <a:solidFill>
              <a:schemeClr val="bg1">
                <a:lumMod val="65000"/>
              </a:schemeClr>
            </a:solidFill>
            <a:ln>
              <a:noFill/>
            </a:ln>
            <a:effectLst/>
          </c:spPr>
          <c:invertIfNegative val="0"/>
          <c:cat>
            <c:strRef>
              <c:f>Subjects!$A$17:$A$18</c:f>
              <c:strCache>
                <c:ptCount val="1"/>
                <c:pt idx="0">
                  <c:v>JSS1A</c:v>
                </c:pt>
              </c:strCache>
            </c:strRef>
          </c:cat>
          <c:val>
            <c:numRef>
              <c:f>Subjects!$F$17:$F$18</c:f>
              <c:numCache>
                <c:formatCode>0.0</c:formatCode>
                <c:ptCount val="1"/>
                <c:pt idx="0">
                  <c:v>53.524999999999999</c:v>
                </c:pt>
              </c:numCache>
            </c:numRef>
          </c:val>
          <c:extLst>
            <c:ext xmlns:c16="http://schemas.microsoft.com/office/drawing/2014/chart" uri="{C3380CC4-5D6E-409C-BE32-E72D297353CC}">
              <c16:uniqueId val="{00000004-02EF-4E2A-8A55-99FE3D68C32B}"/>
            </c:ext>
          </c:extLst>
        </c:ser>
        <c:ser>
          <c:idx val="5"/>
          <c:order val="5"/>
          <c:tx>
            <c:strRef>
              <c:f>Subjects!$G$16</c:f>
              <c:strCache>
                <c:ptCount val="1"/>
                <c:pt idx="0">
                  <c:v>Average of English</c:v>
                </c:pt>
              </c:strCache>
            </c:strRef>
          </c:tx>
          <c:spPr>
            <a:solidFill>
              <a:schemeClr val="accent6"/>
            </a:solidFill>
            <a:ln>
              <a:noFill/>
            </a:ln>
            <a:effectLst/>
          </c:spPr>
          <c:invertIfNegative val="0"/>
          <c:cat>
            <c:strRef>
              <c:f>Subjects!$A$17:$A$18</c:f>
              <c:strCache>
                <c:ptCount val="1"/>
                <c:pt idx="0">
                  <c:v>JSS1A</c:v>
                </c:pt>
              </c:strCache>
            </c:strRef>
          </c:cat>
          <c:val>
            <c:numRef>
              <c:f>Subjects!$G$17:$G$18</c:f>
              <c:numCache>
                <c:formatCode>0.0</c:formatCode>
                <c:ptCount val="1"/>
                <c:pt idx="0">
                  <c:v>61.475000000000001</c:v>
                </c:pt>
              </c:numCache>
            </c:numRef>
          </c:val>
          <c:extLst>
            <c:ext xmlns:c16="http://schemas.microsoft.com/office/drawing/2014/chart" uri="{C3380CC4-5D6E-409C-BE32-E72D297353CC}">
              <c16:uniqueId val="{00000005-02EF-4E2A-8A55-99FE3D68C32B}"/>
            </c:ext>
          </c:extLst>
        </c:ser>
        <c:dLbls>
          <c:showLegendKey val="0"/>
          <c:showVal val="0"/>
          <c:showCatName val="0"/>
          <c:showSerName val="0"/>
          <c:showPercent val="0"/>
          <c:showBubbleSize val="0"/>
        </c:dLbls>
        <c:gapWidth val="219"/>
        <c:overlap val="-27"/>
        <c:axId val="1761811920"/>
        <c:axId val="215258768"/>
      </c:barChart>
      <c:catAx>
        <c:axId val="1761811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Class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215258768"/>
        <c:crosses val="autoZero"/>
        <c:auto val="1"/>
        <c:lblAlgn val="ctr"/>
        <c:lblOffset val="100"/>
        <c:noMultiLvlLbl val="0"/>
      </c:catAx>
      <c:valAx>
        <c:axId val="2152587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Score</a:t>
                </a:r>
                <a:endParaRPr lang="en-US" b="1">
                  <a:solidFill>
                    <a:schemeClr val="tx1"/>
                  </a:solidFill>
                </a:endParaRPr>
              </a:p>
            </c:rich>
          </c:tx>
          <c:layout>
            <c:manualLayout>
              <c:xMode val="edge"/>
              <c:yMode val="edge"/>
              <c:x val="1.9524108100747912E-2"/>
              <c:y val="0.318382013881865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76181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42D4E"/>
      </a:solidFill>
      <a:round/>
    </a:ln>
    <a:effectLst>
      <a:outerShdw blurRad="50800" dist="38100" dir="13500000" algn="b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18" Type="http://schemas.openxmlformats.org/officeDocument/2006/relationships/chart" Target="../charts/chart4.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3.xml"/><Relationship Id="rId2" Type="http://schemas.openxmlformats.org/officeDocument/2006/relationships/chart" Target="../charts/chart2.xml"/><Relationship Id="rId16"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image" Target="../media/image13.png"/><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xdr:from>
      <xdr:col>16</xdr:col>
      <xdr:colOff>24625</xdr:colOff>
      <xdr:row>0</xdr:row>
      <xdr:rowOff>124747</xdr:rowOff>
    </xdr:from>
    <xdr:to>
      <xdr:col>19</xdr:col>
      <xdr:colOff>1550</xdr:colOff>
      <xdr:row>1</xdr:row>
      <xdr:rowOff>178874</xdr:rowOff>
    </xdr:to>
    <xdr:sp macro="" textlink="">
      <xdr:nvSpPr>
        <xdr:cNvPr id="2" name="TextBox 1">
          <a:extLst>
            <a:ext uri="{FF2B5EF4-FFF2-40B4-BE49-F238E27FC236}">
              <a16:creationId xmlns:a16="http://schemas.microsoft.com/office/drawing/2014/main" id="{4F8E8B48-25F8-AF90-F23C-23FB941059A9}"/>
            </a:ext>
          </a:extLst>
        </xdr:cNvPr>
        <xdr:cNvSpPr txBox="1"/>
      </xdr:nvSpPr>
      <xdr:spPr>
        <a:xfrm>
          <a:off x="14996315" y="124747"/>
          <a:ext cx="2364883" cy="2419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TOP 10 STUDENTS IN THIRD TERM</a:t>
          </a:r>
          <a:endParaRPr lang="en-NG" sz="1100" b="1"/>
        </a:p>
      </xdr:txBody>
    </xdr:sp>
    <xdr:clientData/>
  </xdr:twoCellAnchor>
  <xdr:twoCellAnchor>
    <xdr:from>
      <xdr:col>15</xdr:col>
      <xdr:colOff>574813</xdr:colOff>
      <xdr:row>38</xdr:row>
      <xdr:rowOff>17886</xdr:rowOff>
    </xdr:from>
    <xdr:to>
      <xdr:col>23</xdr:col>
      <xdr:colOff>521819</xdr:colOff>
      <xdr:row>55</xdr:row>
      <xdr:rowOff>56988</xdr:rowOff>
    </xdr:to>
    <xdr:sp macro="" textlink="">
      <xdr:nvSpPr>
        <xdr:cNvPr id="5" name="TextBox 2">
          <a:extLst>
            <a:ext uri="{FF2B5EF4-FFF2-40B4-BE49-F238E27FC236}">
              <a16:creationId xmlns:a16="http://schemas.microsoft.com/office/drawing/2014/main" id="{9FE7AFBB-3639-B2FD-8B83-E5323A3245A1}"/>
            </a:ext>
            <a:ext uri="{147F2762-F138-4A5C-976F-8EAC2B608ADB}">
              <a16:predDERef xmlns:a16="http://schemas.microsoft.com/office/drawing/2014/main" pred="{4F8E8B48-25F8-AF90-F23C-23FB941059A9}"/>
            </a:ext>
          </a:extLst>
        </xdr:cNvPr>
        <xdr:cNvSpPr txBox="1"/>
      </xdr:nvSpPr>
      <xdr:spPr>
        <a:xfrm>
          <a:off x="14951864" y="7133142"/>
          <a:ext cx="6313288" cy="3222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CLEANING REPORT</a:t>
          </a:r>
        </a:p>
        <a:p>
          <a:pPr algn="l"/>
          <a:r>
            <a:rPr lang="en-US" sz="1800" b="0"/>
            <a:t>When</a:t>
          </a:r>
          <a:r>
            <a:rPr lang="en-US" sz="1800" b="0" baseline="0"/>
            <a:t> cleaning this data i observed there were multiple entries of Inconsistent names, genders, clases, terms, 30 text stored scores, 3 scores above 100, 6 duplicate records, and 12 blanks. I fixed it by standardizing the entries, removing unnecessary spaces, removed the extra zero from the scores above 100, converted the text stored scores to numbers, removed duplicate records, and left the 12 blanks because it meant the students were absent. </a:t>
          </a:r>
          <a:endParaRPr lang="en-NG" sz="3200" b="0"/>
        </a:p>
      </xdr:txBody>
    </xdr:sp>
    <xdr:clientData/>
  </xdr:twoCellAnchor>
  <xdr:oneCellAnchor>
    <xdr:from>
      <xdr:col>19</xdr:col>
      <xdr:colOff>599227</xdr:colOff>
      <xdr:row>0</xdr:row>
      <xdr:rowOff>44718</xdr:rowOff>
    </xdr:from>
    <xdr:ext cx="2548942" cy="313028"/>
    <xdr:sp macro="" textlink="">
      <xdr:nvSpPr>
        <xdr:cNvPr id="3" name="TextBox 2">
          <a:extLst>
            <a:ext uri="{FF2B5EF4-FFF2-40B4-BE49-F238E27FC236}">
              <a16:creationId xmlns:a16="http://schemas.microsoft.com/office/drawing/2014/main" id="{F88B7E54-8C4C-AD61-4B21-FC422D96E4B3}"/>
            </a:ext>
          </a:extLst>
        </xdr:cNvPr>
        <xdr:cNvSpPr txBox="1"/>
      </xdr:nvSpPr>
      <xdr:spPr>
        <a:xfrm>
          <a:off x="17958875" y="44718"/>
          <a:ext cx="2548942" cy="3130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TOP 3 STUDENTS IN JSS1A THIRD TERM</a:t>
          </a:r>
          <a:endParaRPr lang="en-NG" sz="1100" b="1"/>
        </a:p>
      </xdr:txBody>
    </xdr:sp>
    <xdr:clientData/>
  </xdr:oneCellAnchor>
  <xdr:oneCellAnchor>
    <xdr:from>
      <xdr:col>20</xdr:col>
      <xdr:colOff>18242</xdr:colOff>
      <xdr:row>8</xdr:row>
      <xdr:rowOff>107683</xdr:rowOff>
    </xdr:from>
    <xdr:ext cx="2548942" cy="313028"/>
    <xdr:sp macro="" textlink="">
      <xdr:nvSpPr>
        <xdr:cNvPr id="4" name="TextBox 3">
          <a:extLst>
            <a:ext uri="{FF2B5EF4-FFF2-40B4-BE49-F238E27FC236}">
              <a16:creationId xmlns:a16="http://schemas.microsoft.com/office/drawing/2014/main" id="{65E1395C-689E-4F32-8735-A1B66C8FEA92}"/>
            </a:ext>
          </a:extLst>
        </xdr:cNvPr>
        <xdr:cNvSpPr txBox="1"/>
      </xdr:nvSpPr>
      <xdr:spPr>
        <a:xfrm>
          <a:off x="17986059" y="1610218"/>
          <a:ext cx="2548942" cy="3130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TOP 3 STUDENTS IN JSS1B THIRD TERM</a:t>
          </a:r>
          <a:endParaRPr lang="en-NG" sz="1100" b="1"/>
        </a:p>
      </xdr:txBody>
    </xdr:sp>
    <xdr:clientData/>
  </xdr:oneCellAnchor>
  <xdr:oneCellAnchor>
    <xdr:from>
      <xdr:col>16</xdr:col>
      <xdr:colOff>44708</xdr:colOff>
      <xdr:row>16</xdr:row>
      <xdr:rowOff>53676</xdr:rowOff>
    </xdr:from>
    <xdr:ext cx="2548942" cy="313028"/>
    <xdr:sp macro="" textlink="">
      <xdr:nvSpPr>
        <xdr:cNvPr id="6" name="TextBox 5">
          <a:extLst>
            <a:ext uri="{FF2B5EF4-FFF2-40B4-BE49-F238E27FC236}">
              <a16:creationId xmlns:a16="http://schemas.microsoft.com/office/drawing/2014/main" id="{889C4017-0437-48AA-BE10-A5F5A2D7BE21}"/>
            </a:ext>
          </a:extLst>
        </xdr:cNvPr>
        <xdr:cNvSpPr txBox="1"/>
      </xdr:nvSpPr>
      <xdr:spPr>
        <a:xfrm>
          <a:off x="15016398" y="3058746"/>
          <a:ext cx="2548942" cy="3130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TOP 3 STUDENTS IN JSS2A THIRD TERM</a:t>
          </a:r>
          <a:endParaRPr lang="en-NG" sz="1100" b="1"/>
        </a:p>
      </xdr:txBody>
    </xdr:sp>
    <xdr:clientData/>
  </xdr:oneCellAnchor>
  <xdr:oneCellAnchor>
    <xdr:from>
      <xdr:col>16</xdr:col>
      <xdr:colOff>9290</xdr:colOff>
      <xdr:row>25</xdr:row>
      <xdr:rowOff>89807</xdr:rowOff>
    </xdr:from>
    <xdr:ext cx="2548942" cy="313028"/>
    <xdr:sp macro="" textlink="">
      <xdr:nvSpPr>
        <xdr:cNvPr id="7" name="TextBox 6">
          <a:extLst>
            <a:ext uri="{FF2B5EF4-FFF2-40B4-BE49-F238E27FC236}">
              <a16:creationId xmlns:a16="http://schemas.microsoft.com/office/drawing/2014/main" id="{C0CD6E79-DFB8-46BE-B3A2-0BCD1DD7B560}"/>
            </a:ext>
          </a:extLst>
        </xdr:cNvPr>
        <xdr:cNvSpPr txBox="1"/>
      </xdr:nvSpPr>
      <xdr:spPr>
        <a:xfrm>
          <a:off x="14980980" y="4785230"/>
          <a:ext cx="2548942" cy="3130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TOP 3 STUDENTS IN JSS2B THIRD TERM</a:t>
          </a:r>
          <a:endParaRPr lang="en-NG" sz="1100" b="1"/>
        </a:p>
      </xdr:txBody>
    </xdr:sp>
    <xdr:clientData/>
  </xdr:oneCellAnchor>
  <xdr:oneCellAnchor>
    <xdr:from>
      <xdr:col>20</xdr:col>
      <xdr:colOff>352</xdr:colOff>
      <xdr:row>16</xdr:row>
      <xdr:rowOff>45091</xdr:rowOff>
    </xdr:from>
    <xdr:ext cx="2548942" cy="313028"/>
    <xdr:sp macro="" textlink="">
      <xdr:nvSpPr>
        <xdr:cNvPr id="8" name="TextBox 7">
          <a:extLst>
            <a:ext uri="{FF2B5EF4-FFF2-40B4-BE49-F238E27FC236}">
              <a16:creationId xmlns:a16="http://schemas.microsoft.com/office/drawing/2014/main" id="{3264B435-E647-4744-9D22-AC978D2AE28C}"/>
            </a:ext>
          </a:extLst>
        </xdr:cNvPr>
        <xdr:cNvSpPr txBox="1"/>
      </xdr:nvSpPr>
      <xdr:spPr>
        <a:xfrm>
          <a:off x="18155986" y="3050161"/>
          <a:ext cx="2548942" cy="3130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TOP 3 STUDENTS IN JSS3A THIRD TERM</a:t>
          </a:r>
          <a:endParaRPr lang="en-NG" sz="1100" b="1"/>
        </a:p>
      </xdr:txBody>
    </xdr:sp>
    <xdr:clientData/>
  </xdr:oneCellAnchor>
  <xdr:oneCellAnchor>
    <xdr:from>
      <xdr:col>20</xdr:col>
      <xdr:colOff>9654</xdr:colOff>
      <xdr:row>25</xdr:row>
      <xdr:rowOff>45448</xdr:rowOff>
    </xdr:from>
    <xdr:ext cx="2548942" cy="313028"/>
    <xdr:sp macro="" textlink="">
      <xdr:nvSpPr>
        <xdr:cNvPr id="9" name="TextBox 8">
          <a:extLst>
            <a:ext uri="{FF2B5EF4-FFF2-40B4-BE49-F238E27FC236}">
              <a16:creationId xmlns:a16="http://schemas.microsoft.com/office/drawing/2014/main" id="{CC474744-97FC-4BF6-A1DD-5AA2C5C5E3F0}"/>
            </a:ext>
          </a:extLst>
        </xdr:cNvPr>
        <xdr:cNvSpPr txBox="1"/>
      </xdr:nvSpPr>
      <xdr:spPr>
        <a:xfrm>
          <a:off x="18165288" y="4740871"/>
          <a:ext cx="2548942" cy="3130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TOP 3 STUDENTS IN JSS3B THIRD TERM</a:t>
          </a:r>
          <a:endParaRPr lang="en-NG" sz="11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25400</xdr:colOff>
      <xdr:row>3</xdr:row>
      <xdr:rowOff>0</xdr:rowOff>
    </xdr:from>
    <xdr:to>
      <xdr:col>8</xdr:col>
      <xdr:colOff>342900</xdr:colOff>
      <xdr:row>4</xdr:row>
      <xdr:rowOff>171450</xdr:rowOff>
    </xdr:to>
    <xdr:sp macro="" textlink="">
      <xdr:nvSpPr>
        <xdr:cNvPr id="4" name="TextBox 3">
          <a:extLst>
            <a:ext uri="{FF2B5EF4-FFF2-40B4-BE49-F238E27FC236}">
              <a16:creationId xmlns:a16="http://schemas.microsoft.com/office/drawing/2014/main" id="{98D0B66F-3D15-3445-AC23-191F4145CE38}"/>
            </a:ext>
            <a:ext uri="{147F2762-F138-4A5C-976F-8EAC2B608ADB}">
              <a16:predDERef xmlns:a16="http://schemas.microsoft.com/office/drawing/2014/main" pred="{EBF35A19-1551-4DB4-83C5-C79DBC5FB9C4}"/>
            </a:ext>
          </a:extLst>
        </xdr:cNvPr>
        <xdr:cNvSpPr txBox="1"/>
      </xdr:nvSpPr>
      <xdr:spPr>
        <a:xfrm>
          <a:off x="5511800" y="571500"/>
          <a:ext cx="2146300"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HARDEST</a:t>
          </a:r>
          <a:r>
            <a:rPr lang="en-US" sz="1100" b="1" baseline="0"/>
            <a:t> SUBJECT</a:t>
          </a:r>
          <a:r>
            <a:rPr lang="en-US" sz="1100" b="1"/>
            <a:t>:</a:t>
          </a:r>
          <a:r>
            <a:rPr lang="en-US" sz="1100" b="1" baseline="0"/>
            <a:t> MATHS 55.4</a:t>
          </a:r>
          <a:endParaRPr lang="en-NG" sz="1100" b="1"/>
        </a:p>
      </xdr:txBody>
    </xdr:sp>
    <xdr:clientData/>
  </xdr:twoCellAnchor>
  <xdr:twoCellAnchor>
    <xdr:from>
      <xdr:col>5</xdr:col>
      <xdr:colOff>38100</xdr:colOff>
      <xdr:row>0</xdr:row>
      <xdr:rowOff>63500</xdr:rowOff>
    </xdr:from>
    <xdr:to>
      <xdr:col>9</xdr:col>
      <xdr:colOff>292100</xdr:colOff>
      <xdr:row>2</xdr:row>
      <xdr:rowOff>0</xdr:rowOff>
    </xdr:to>
    <xdr:sp macro="" textlink="">
      <xdr:nvSpPr>
        <xdr:cNvPr id="5" name="TextBox 4">
          <a:extLst>
            <a:ext uri="{FF2B5EF4-FFF2-40B4-BE49-F238E27FC236}">
              <a16:creationId xmlns:a16="http://schemas.microsoft.com/office/drawing/2014/main" id="{A952CF8B-64AE-634A-B674-4862E479323A}"/>
            </a:ext>
            <a:ext uri="{147F2762-F138-4A5C-976F-8EAC2B608ADB}">
              <a16:predDERef xmlns:a16="http://schemas.microsoft.com/office/drawing/2014/main" pred="{98D0B66F-3D15-3445-AC23-191F4145CE38}"/>
            </a:ext>
          </a:extLst>
        </xdr:cNvPr>
        <xdr:cNvSpPr txBox="1"/>
      </xdr:nvSpPr>
      <xdr:spPr>
        <a:xfrm>
          <a:off x="5524500" y="63500"/>
          <a:ext cx="2692400"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EASIEST</a:t>
          </a:r>
          <a:r>
            <a:rPr lang="en-US" sz="1100" b="1" baseline="0"/>
            <a:t> SUBJECT</a:t>
          </a:r>
          <a:r>
            <a:rPr lang="en-US" sz="1100" b="1"/>
            <a:t>: CIVIC EDUCATION 67.3</a:t>
          </a:r>
          <a:endParaRPr lang="en-NG"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14</xdr:row>
      <xdr:rowOff>0</xdr:rowOff>
    </xdr:from>
    <xdr:to>
      <xdr:col>10</xdr:col>
      <xdr:colOff>158750</xdr:colOff>
      <xdr:row>15</xdr:row>
      <xdr:rowOff>38100</xdr:rowOff>
    </xdr:to>
    <xdr:sp macro="" textlink="">
      <xdr:nvSpPr>
        <xdr:cNvPr id="3" name="TextBox 2">
          <a:extLst>
            <a:ext uri="{FF2B5EF4-FFF2-40B4-BE49-F238E27FC236}">
              <a16:creationId xmlns:a16="http://schemas.microsoft.com/office/drawing/2014/main" id="{BD3354D6-FA5D-9543-9DF8-A62D9FCBAC49}"/>
            </a:ext>
          </a:extLst>
        </xdr:cNvPr>
        <xdr:cNvSpPr txBox="1"/>
      </xdr:nvSpPr>
      <xdr:spPr>
        <a:xfrm>
          <a:off x="6375400" y="2667000"/>
          <a:ext cx="2000250" cy="2286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TOP 5 IMPROVED STUDENTS</a:t>
          </a:r>
          <a:endParaRPr lang="en-NG" sz="1100" b="1"/>
        </a:p>
      </xdr:txBody>
    </xdr:sp>
    <xdr:clientData/>
  </xdr:twoCellAnchor>
  <xdr:twoCellAnchor>
    <xdr:from>
      <xdr:col>7</xdr:col>
      <xdr:colOff>12700</xdr:colOff>
      <xdr:row>7</xdr:row>
      <xdr:rowOff>107950</xdr:rowOff>
    </xdr:from>
    <xdr:to>
      <xdr:col>11</xdr:col>
      <xdr:colOff>88900</xdr:colOff>
      <xdr:row>9</xdr:row>
      <xdr:rowOff>6350</xdr:rowOff>
    </xdr:to>
    <xdr:sp macro="" textlink="">
      <xdr:nvSpPr>
        <xdr:cNvPr id="2" name="TextBox 1">
          <a:extLst>
            <a:ext uri="{FF2B5EF4-FFF2-40B4-BE49-F238E27FC236}">
              <a16:creationId xmlns:a16="http://schemas.microsoft.com/office/drawing/2014/main" id="{8A8BBE50-335C-10DB-0EBE-43AA449C6F18}"/>
            </a:ext>
          </a:extLst>
        </xdr:cNvPr>
        <xdr:cNvSpPr txBox="1"/>
      </xdr:nvSpPr>
      <xdr:spPr>
        <a:xfrm>
          <a:off x="6292850" y="1397000"/>
          <a:ext cx="3613150" cy="2667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tx1"/>
              </a:solidFill>
            </a:rPr>
            <a:t>JSS3B</a:t>
          </a:r>
          <a:r>
            <a:rPr lang="en-US" sz="1100" b="1" baseline="0">
              <a:solidFill>
                <a:schemeClr val="tx1"/>
              </a:solidFill>
            </a:rPr>
            <a:t> Had The Highest Improvement Of 6.1</a:t>
          </a:r>
          <a:endParaRPr lang="en-NG" sz="1100" b="1">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110775</xdr:colOff>
      <xdr:row>0</xdr:row>
      <xdr:rowOff>70435</xdr:rowOff>
    </xdr:from>
    <xdr:to>
      <xdr:col>15</xdr:col>
      <xdr:colOff>476144</xdr:colOff>
      <xdr:row>3</xdr:row>
      <xdr:rowOff>178385</xdr:rowOff>
    </xdr:to>
    <xdr:sp macro="" textlink="">
      <xdr:nvSpPr>
        <xdr:cNvPr id="2" name="Rectangle: Rounded Corners 1">
          <a:extLst>
            <a:ext uri="{FF2B5EF4-FFF2-40B4-BE49-F238E27FC236}">
              <a16:creationId xmlns:a16="http://schemas.microsoft.com/office/drawing/2014/main" id="{43F1DBE2-36C1-E676-1473-52CE13D5A5C2}"/>
            </a:ext>
          </a:extLst>
        </xdr:cNvPr>
        <xdr:cNvSpPr/>
      </xdr:nvSpPr>
      <xdr:spPr>
        <a:xfrm>
          <a:off x="110775" y="70435"/>
          <a:ext cx="9534294" cy="659866"/>
        </a:xfrm>
        <a:prstGeom prst="roundRect">
          <a:avLst/>
        </a:prstGeom>
        <a:solidFill>
          <a:srgbClr val="142D4E"/>
        </a:solidFill>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400" b="1"/>
            <a:t>GREENFIELD SCHOOL RESULTS DASHBOARD       </a:t>
          </a:r>
          <a:r>
            <a:rPr lang="en-US" sz="1200" b="1"/>
            <a:t> Better</a:t>
          </a:r>
          <a:r>
            <a:rPr lang="en-US" sz="1200" b="1" baseline="0"/>
            <a:t> Learning/Bright Future</a:t>
          </a:r>
          <a:endParaRPr lang="en-NG" sz="2400" b="1"/>
        </a:p>
      </xdr:txBody>
    </xdr:sp>
    <xdr:clientData/>
  </xdr:twoCellAnchor>
  <xdr:twoCellAnchor>
    <xdr:from>
      <xdr:col>0</xdr:col>
      <xdr:colOff>122767</xdr:colOff>
      <xdr:row>4</xdr:row>
      <xdr:rowOff>76200</xdr:rowOff>
    </xdr:from>
    <xdr:to>
      <xdr:col>2</xdr:col>
      <xdr:colOff>599017</xdr:colOff>
      <xdr:row>7</xdr:row>
      <xdr:rowOff>171450</xdr:rowOff>
    </xdr:to>
    <xdr:sp macro="" textlink="">
      <xdr:nvSpPr>
        <xdr:cNvPr id="3" name="Rectangle: Rounded Corners 2">
          <a:extLst>
            <a:ext uri="{FF2B5EF4-FFF2-40B4-BE49-F238E27FC236}">
              <a16:creationId xmlns:a16="http://schemas.microsoft.com/office/drawing/2014/main" id="{AACE391F-2B56-8D84-90B8-46671EFF86F6}"/>
            </a:ext>
            <a:ext uri="{147F2762-F138-4A5C-976F-8EAC2B608ADB}">
              <a16:predDERef xmlns:a16="http://schemas.microsoft.com/office/drawing/2014/main" pred="{43F1DBE2-36C1-E676-1473-52CE13D5A5C2}"/>
            </a:ext>
          </a:extLst>
        </xdr:cNvPr>
        <xdr:cNvSpPr/>
      </xdr:nvSpPr>
      <xdr:spPr>
        <a:xfrm>
          <a:off x="122767" y="855133"/>
          <a:ext cx="1695450" cy="679450"/>
        </a:xfrm>
        <a:prstGeom prst="roundRect">
          <a:avLst/>
        </a:prstGeom>
        <a:solidFill>
          <a:schemeClr val="bg1"/>
        </a:solidFill>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rgbClr val="142D4E"/>
              </a:solidFill>
            </a:rPr>
            <a:t>TOTAL STUDENTS</a:t>
          </a:r>
        </a:p>
        <a:p>
          <a:pPr algn="ctr"/>
          <a:r>
            <a:rPr lang="en-US" sz="2000" b="1">
              <a:solidFill>
                <a:srgbClr val="142D4E"/>
              </a:solidFill>
            </a:rPr>
            <a:t>240</a:t>
          </a:r>
          <a:endParaRPr lang="en-NG" sz="2000" b="1">
            <a:solidFill>
              <a:srgbClr val="142D4E"/>
            </a:solidFill>
          </a:endParaRPr>
        </a:p>
      </xdr:txBody>
    </xdr:sp>
    <xdr:clientData/>
  </xdr:twoCellAnchor>
  <xdr:twoCellAnchor>
    <xdr:from>
      <xdr:col>3</xdr:col>
      <xdr:colOff>29634</xdr:colOff>
      <xdr:row>4</xdr:row>
      <xdr:rowOff>71968</xdr:rowOff>
    </xdr:from>
    <xdr:to>
      <xdr:col>5</xdr:col>
      <xdr:colOff>505884</xdr:colOff>
      <xdr:row>7</xdr:row>
      <xdr:rowOff>177802</xdr:rowOff>
    </xdr:to>
    <xdr:sp macro="" textlink="">
      <xdr:nvSpPr>
        <xdr:cNvPr id="4" name="Rectangle: Rounded Corners 3">
          <a:extLst>
            <a:ext uri="{FF2B5EF4-FFF2-40B4-BE49-F238E27FC236}">
              <a16:creationId xmlns:a16="http://schemas.microsoft.com/office/drawing/2014/main" id="{17D58203-3793-4AC0-9EB9-18688BF9B68F}"/>
            </a:ext>
            <a:ext uri="{147F2762-F138-4A5C-976F-8EAC2B608ADB}">
              <a16:predDERef xmlns:a16="http://schemas.microsoft.com/office/drawing/2014/main" pred="{AACE391F-2B56-8D84-90B8-46671EFF86F6}"/>
            </a:ext>
          </a:extLst>
        </xdr:cNvPr>
        <xdr:cNvSpPr/>
      </xdr:nvSpPr>
      <xdr:spPr>
        <a:xfrm>
          <a:off x="1858434" y="850901"/>
          <a:ext cx="1695450" cy="690034"/>
        </a:xfrm>
        <a:prstGeom prst="roundRect">
          <a:avLst/>
        </a:prstGeom>
        <a:solidFill>
          <a:schemeClr val="bg1"/>
        </a:solidFill>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rgbClr val="142D4E"/>
              </a:solidFill>
            </a:rPr>
            <a:t>THIRD TERM PASS RATE</a:t>
          </a:r>
        </a:p>
        <a:p>
          <a:pPr algn="ctr"/>
          <a:r>
            <a:rPr lang="en-US" sz="1600" b="1">
              <a:solidFill>
                <a:srgbClr val="20A39E"/>
              </a:solidFill>
            </a:rPr>
            <a:t>86.7%</a:t>
          </a:r>
          <a:endParaRPr lang="en-NG" sz="1600" b="1">
            <a:solidFill>
              <a:srgbClr val="20A39E"/>
            </a:solidFill>
          </a:endParaRPr>
        </a:p>
      </xdr:txBody>
    </xdr:sp>
    <xdr:clientData/>
  </xdr:twoCellAnchor>
  <xdr:twoCellAnchor>
    <xdr:from>
      <xdr:col>5</xdr:col>
      <xdr:colOff>539750</xdr:colOff>
      <xdr:row>4</xdr:row>
      <xdr:rowOff>75712</xdr:rowOff>
    </xdr:from>
    <xdr:to>
      <xdr:col>8</xdr:col>
      <xdr:colOff>406400</xdr:colOff>
      <xdr:row>7</xdr:row>
      <xdr:rowOff>172427</xdr:rowOff>
    </xdr:to>
    <xdr:sp macro="" textlink="">
      <xdr:nvSpPr>
        <xdr:cNvPr id="5" name="Rectangle: Rounded Corners 4">
          <a:extLst>
            <a:ext uri="{FF2B5EF4-FFF2-40B4-BE49-F238E27FC236}">
              <a16:creationId xmlns:a16="http://schemas.microsoft.com/office/drawing/2014/main" id="{AB0C5B87-256D-407B-B8F2-08C7BF6B72B8}"/>
            </a:ext>
          </a:extLst>
        </xdr:cNvPr>
        <xdr:cNvSpPr/>
      </xdr:nvSpPr>
      <xdr:spPr>
        <a:xfrm>
          <a:off x="3568212" y="818174"/>
          <a:ext cx="1683726" cy="653561"/>
        </a:xfrm>
        <a:prstGeom prst="roundRect">
          <a:avLst/>
        </a:prstGeom>
        <a:solidFill>
          <a:schemeClr val="bg1"/>
        </a:solidFill>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142D4E"/>
              </a:solidFill>
            </a:rPr>
            <a:t>HARDEST</a:t>
          </a:r>
          <a:r>
            <a:rPr lang="en-US" sz="1100" b="1" baseline="0">
              <a:solidFill>
                <a:srgbClr val="142D4E"/>
              </a:solidFill>
            </a:rPr>
            <a:t> </a:t>
          </a:r>
          <a:r>
            <a:rPr lang="en-US" sz="1100" b="1">
              <a:solidFill>
                <a:srgbClr val="142D4E"/>
              </a:solidFill>
            </a:rPr>
            <a:t>SUBJECT</a:t>
          </a:r>
          <a:endParaRPr lang="en-US" sz="1400" b="1">
            <a:solidFill>
              <a:srgbClr val="142D4E"/>
            </a:solidFill>
          </a:endParaRPr>
        </a:p>
        <a:p>
          <a:pPr algn="ctr"/>
          <a:r>
            <a:rPr lang="en-US" sz="1400" b="1">
              <a:solidFill>
                <a:srgbClr val="142D4E"/>
              </a:solidFill>
            </a:rPr>
            <a:t>MATHS</a:t>
          </a:r>
        </a:p>
      </xdr:txBody>
    </xdr:sp>
    <xdr:clientData/>
  </xdr:twoCellAnchor>
  <xdr:twoCellAnchor>
    <xdr:from>
      <xdr:col>8</xdr:col>
      <xdr:colOff>450850</xdr:colOff>
      <xdr:row>4</xdr:row>
      <xdr:rowOff>72780</xdr:rowOff>
    </xdr:from>
    <xdr:to>
      <xdr:col>12</xdr:col>
      <xdr:colOff>488950</xdr:colOff>
      <xdr:row>7</xdr:row>
      <xdr:rowOff>168030</xdr:rowOff>
    </xdr:to>
    <xdr:sp macro="" textlink="">
      <xdr:nvSpPr>
        <xdr:cNvPr id="6" name="Rectangle: Rounded Corners 5">
          <a:extLst>
            <a:ext uri="{FF2B5EF4-FFF2-40B4-BE49-F238E27FC236}">
              <a16:creationId xmlns:a16="http://schemas.microsoft.com/office/drawing/2014/main" id="{40464430-550B-4D5F-B0C9-363EA737488D}"/>
            </a:ext>
          </a:extLst>
        </xdr:cNvPr>
        <xdr:cNvSpPr/>
      </xdr:nvSpPr>
      <xdr:spPr>
        <a:xfrm>
          <a:off x="5296388" y="815242"/>
          <a:ext cx="2460870" cy="652096"/>
        </a:xfrm>
        <a:prstGeom prst="roundRect">
          <a:avLst/>
        </a:prstGeom>
        <a:solidFill>
          <a:schemeClr val="bg1"/>
        </a:solidFill>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solidFill>
                <a:srgbClr val="142D4E"/>
              </a:solidFill>
            </a:rPr>
            <a:t>BEST</a:t>
          </a:r>
          <a:r>
            <a:rPr lang="en-US" sz="1050" b="1" baseline="0">
              <a:solidFill>
                <a:srgbClr val="142D4E"/>
              </a:solidFill>
            </a:rPr>
            <a:t> PERFORMING CLASS BY AVERAGE</a:t>
          </a:r>
        </a:p>
        <a:p>
          <a:pPr algn="ctr"/>
          <a:r>
            <a:rPr lang="en-US" sz="1800" b="1" baseline="0">
              <a:solidFill>
                <a:srgbClr val="142D4E"/>
              </a:solidFill>
            </a:rPr>
            <a:t>JSS3B</a:t>
          </a:r>
          <a:endParaRPr lang="en-NG" sz="1800" b="1">
            <a:solidFill>
              <a:srgbClr val="142D4E"/>
            </a:solidFill>
          </a:endParaRPr>
        </a:p>
      </xdr:txBody>
    </xdr:sp>
    <xdr:clientData/>
  </xdr:twoCellAnchor>
  <xdr:twoCellAnchor>
    <xdr:from>
      <xdr:col>12</xdr:col>
      <xdr:colOff>536331</xdr:colOff>
      <xdr:row>4</xdr:row>
      <xdr:rowOff>53242</xdr:rowOff>
    </xdr:from>
    <xdr:to>
      <xdr:col>15</xdr:col>
      <xdr:colOff>586153</xdr:colOff>
      <xdr:row>7</xdr:row>
      <xdr:rowOff>148492</xdr:rowOff>
    </xdr:to>
    <xdr:sp macro="" textlink="">
      <xdr:nvSpPr>
        <xdr:cNvPr id="7" name="Rectangle: Rounded Corners 6">
          <a:extLst>
            <a:ext uri="{FF2B5EF4-FFF2-40B4-BE49-F238E27FC236}">
              <a16:creationId xmlns:a16="http://schemas.microsoft.com/office/drawing/2014/main" id="{07606587-A295-4A2E-9192-2F8EABAEE1A7}"/>
            </a:ext>
          </a:extLst>
        </xdr:cNvPr>
        <xdr:cNvSpPr/>
      </xdr:nvSpPr>
      <xdr:spPr>
        <a:xfrm>
          <a:off x="7804639" y="795704"/>
          <a:ext cx="1866899" cy="652096"/>
        </a:xfrm>
        <a:prstGeom prst="roundRect">
          <a:avLst/>
        </a:prstGeom>
        <a:solidFill>
          <a:schemeClr val="bg1"/>
        </a:solidFill>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142D4E"/>
              </a:solidFill>
            </a:rPr>
            <a:t>NO. OF STUDENTS AT RISK</a:t>
          </a:r>
        </a:p>
        <a:p>
          <a:pPr algn="ctr"/>
          <a:r>
            <a:rPr lang="en-US" sz="1800" b="1">
              <a:solidFill>
                <a:srgbClr val="FF0000"/>
              </a:solidFill>
            </a:rPr>
            <a:t>32</a:t>
          </a:r>
          <a:endParaRPr lang="en-NG" sz="1800" b="1">
            <a:solidFill>
              <a:srgbClr val="FF0000"/>
            </a:solidFill>
          </a:endParaRPr>
        </a:p>
      </xdr:txBody>
    </xdr:sp>
    <xdr:clientData/>
  </xdr:twoCellAnchor>
  <xdr:twoCellAnchor>
    <xdr:from>
      <xdr:col>0</xdr:col>
      <xdr:colOff>174236</xdr:colOff>
      <xdr:row>8</xdr:row>
      <xdr:rowOff>86549</xdr:rowOff>
    </xdr:from>
    <xdr:to>
      <xdr:col>6</xdr:col>
      <xdr:colOff>104386</xdr:colOff>
      <xdr:row>17</xdr:row>
      <xdr:rowOff>137349</xdr:rowOff>
    </xdr:to>
    <xdr:graphicFrame macro="">
      <xdr:nvGraphicFramePr>
        <xdr:cNvPr id="8" name="Chart 7">
          <a:extLst>
            <a:ext uri="{FF2B5EF4-FFF2-40B4-BE49-F238E27FC236}">
              <a16:creationId xmlns:a16="http://schemas.microsoft.com/office/drawing/2014/main" id="{179607F1-515C-480A-8883-EDF28DAC069D}"/>
            </a:ext>
            <a:ext uri="{147F2762-F138-4A5C-976F-8EAC2B608ADB}">
              <a16:predDERef xmlns:a16="http://schemas.microsoft.com/office/drawing/2014/main" pred="{07606587-A295-4A2E-9192-2F8EABAEE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224692</xdr:colOff>
      <xdr:row>8</xdr:row>
      <xdr:rowOff>95250</xdr:rowOff>
    </xdr:from>
    <xdr:to>
      <xdr:col>12</xdr:col>
      <xdr:colOff>203200</xdr:colOff>
      <xdr:row>17</xdr:row>
      <xdr:rowOff>165100</xdr:rowOff>
    </xdr:to>
    <xdr:graphicFrame macro="">
      <xdr:nvGraphicFramePr>
        <xdr:cNvPr id="9" name="Chart 8">
          <a:extLst>
            <a:ext uri="{FF2B5EF4-FFF2-40B4-BE49-F238E27FC236}">
              <a16:creationId xmlns:a16="http://schemas.microsoft.com/office/drawing/2014/main" id="{DED4CBB2-9808-42FE-93AC-16F53A715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405478</xdr:colOff>
      <xdr:row>2</xdr:row>
      <xdr:rowOff>117231</xdr:rowOff>
    </xdr:from>
    <xdr:to>
      <xdr:col>15</xdr:col>
      <xdr:colOff>317555</xdr:colOff>
      <xdr:row>2</xdr:row>
      <xdr:rowOff>162950</xdr:rowOff>
    </xdr:to>
    <xdr:sp macro="" textlink="">
      <xdr:nvSpPr>
        <xdr:cNvPr id="10" name="Rectangle: Rounded Corners 9">
          <a:extLst>
            <a:ext uri="{FF2B5EF4-FFF2-40B4-BE49-F238E27FC236}">
              <a16:creationId xmlns:a16="http://schemas.microsoft.com/office/drawing/2014/main" id="{4F21B6B7-7CBF-8F3C-140C-035588E872D7}"/>
            </a:ext>
          </a:extLst>
        </xdr:cNvPr>
        <xdr:cNvSpPr/>
      </xdr:nvSpPr>
      <xdr:spPr>
        <a:xfrm>
          <a:off x="7740618" y="485175"/>
          <a:ext cx="1745862" cy="45719"/>
        </a:xfrm>
        <a:prstGeom prst="roundRect">
          <a:avLst/>
        </a:prstGeom>
        <a:solidFill>
          <a:srgbClr val="20A39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235926</xdr:colOff>
      <xdr:row>1</xdr:row>
      <xdr:rowOff>66652</xdr:rowOff>
    </xdr:from>
    <xdr:to>
      <xdr:col>1</xdr:col>
      <xdr:colOff>333619</xdr:colOff>
      <xdr:row>4</xdr:row>
      <xdr:rowOff>15540</xdr:rowOff>
    </xdr:to>
    <xdr:pic>
      <xdr:nvPicPr>
        <xdr:cNvPr id="12" name="Graphic 11" descr="Books outline">
          <a:extLst>
            <a:ext uri="{FF2B5EF4-FFF2-40B4-BE49-F238E27FC236}">
              <a16:creationId xmlns:a16="http://schemas.microsoft.com/office/drawing/2014/main" id="{C5958759-1AFE-B054-F0FD-89C9DD4580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5926" y="250624"/>
          <a:ext cx="708955" cy="500804"/>
        </a:xfrm>
        <a:prstGeom prst="rect">
          <a:avLst/>
        </a:prstGeom>
      </xdr:spPr>
    </xdr:pic>
    <xdr:clientData/>
  </xdr:twoCellAnchor>
  <xdr:twoCellAnchor editAs="oneCell">
    <xdr:from>
      <xdr:col>0</xdr:col>
      <xdr:colOff>104385</xdr:colOff>
      <xdr:row>0</xdr:row>
      <xdr:rowOff>57533</xdr:rowOff>
    </xdr:from>
    <xdr:to>
      <xdr:col>1</xdr:col>
      <xdr:colOff>410806</xdr:colOff>
      <xdr:row>2</xdr:row>
      <xdr:rowOff>29670</xdr:rowOff>
    </xdr:to>
    <xdr:pic>
      <xdr:nvPicPr>
        <xdr:cNvPr id="13" name="Graphic 12" descr="Graduation cap with solid fill">
          <a:extLst>
            <a:ext uri="{FF2B5EF4-FFF2-40B4-BE49-F238E27FC236}">
              <a16:creationId xmlns:a16="http://schemas.microsoft.com/office/drawing/2014/main" id="{D22F2C90-B9E3-737F-29DE-1F69FA2B4FEE}"/>
            </a:ext>
            <a:ext uri="{147F2762-F138-4A5C-976F-8EAC2B608ADB}">
              <a16:predDERef xmlns:a16="http://schemas.microsoft.com/office/drawing/2014/main" pred="{C5958759-1AFE-B054-F0FD-89C9DD45801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4385" y="57533"/>
          <a:ext cx="917683" cy="340081"/>
        </a:xfrm>
        <a:prstGeom prst="rect">
          <a:avLst/>
        </a:prstGeom>
      </xdr:spPr>
    </xdr:pic>
    <xdr:clientData/>
  </xdr:twoCellAnchor>
  <xdr:twoCellAnchor editAs="oneCell">
    <xdr:from>
      <xdr:col>0</xdr:col>
      <xdr:colOff>152400</xdr:colOff>
      <xdr:row>5</xdr:row>
      <xdr:rowOff>11640</xdr:rowOff>
    </xdr:from>
    <xdr:to>
      <xdr:col>1</xdr:col>
      <xdr:colOff>118533</xdr:colOff>
      <xdr:row>8</xdr:row>
      <xdr:rowOff>27415</xdr:rowOff>
    </xdr:to>
    <xdr:pic>
      <xdr:nvPicPr>
        <xdr:cNvPr id="14" name="Graphic 13" descr="Users with solid fill">
          <a:extLst>
            <a:ext uri="{FF2B5EF4-FFF2-40B4-BE49-F238E27FC236}">
              <a16:creationId xmlns:a16="http://schemas.microsoft.com/office/drawing/2014/main" id="{AD618DF4-F550-9BB4-79FB-44CB72DD7A4D}"/>
            </a:ext>
            <a:ext uri="{147F2762-F138-4A5C-976F-8EAC2B608ADB}">
              <a16:predDERef xmlns:a16="http://schemas.microsoft.com/office/drawing/2014/main" pred="{D22F2C90-B9E3-737F-29DE-1F69FA2B4FE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2400" y="939717"/>
          <a:ext cx="571825" cy="572621"/>
        </a:xfrm>
        <a:prstGeom prst="rect">
          <a:avLst/>
        </a:prstGeom>
      </xdr:spPr>
    </xdr:pic>
    <xdr:clientData/>
  </xdr:twoCellAnchor>
  <xdr:twoCellAnchor editAs="oneCell">
    <xdr:from>
      <xdr:col>2</xdr:col>
      <xdr:colOff>593520</xdr:colOff>
      <xdr:row>5</xdr:row>
      <xdr:rowOff>103341</xdr:rowOff>
    </xdr:from>
    <xdr:to>
      <xdr:col>4</xdr:col>
      <xdr:colOff>74716</xdr:colOff>
      <xdr:row>7</xdr:row>
      <xdr:rowOff>117018</xdr:rowOff>
    </xdr:to>
    <xdr:pic>
      <xdr:nvPicPr>
        <xdr:cNvPr id="15" name="Graphic 14" descr="Completed with solid fill">
          <a:extLst>
            <a:ext uri="{FF2B5EF4-FFF2-40B4-BE49-F238E27FC236}">
              <a16:creationId xmlns:a16="http://schemas.microsoft.com/office/drawing/2014/main" id="{37BEB21C-6FCB-546A-A2F0-141E20139810}"/>
            </a:ext>
            <a:ext uri="{147F2762-F138-4A5C-976F-8EAC2B608ADB}">
              <a16:predDERef xmlns:a16="http://schemas.microsoft.com/office/drawing/2014/main" pred="{AD618DF4-F550-9BB4-79FB-44CB72DD7A4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10501703" flipH="1" flipV="1">
          <a:off x="1804905" y="1031418"/>
          <a:ext cx="692580" cy="384908"/>
        </a:xfrm>
        <a:prstGeom prst="rect">
          <a:avLst/>
        </a:prstGeom>
      </xdr:spPr>
    </xdr:pic>
    <xdr:clientData/>
  </xdr:twoCellAnchor>
  <xdr:twoCellAnchor editAs="oneCell">
    <xdr:from>
      <xdr:col>6</xdr:col>
      <xdr:colOff>50798</xdr:colOff>
      <xdr:row>5</xdr:row>
      <xdr:rowOff>110066</xdr:rowOff>
    </xdr:from>
    <xdr:to>
      <xdr:col>6</xdr:col>
      <xdr:colOff>457199</xdr:colOff>
      <xdr:row>7</xdr:row>
      <xdr:rowOff>127001</xdr:rowOff>
    </xdr:to>
    <xdr:pic>
      <xdr:nvPicPr>
        <xdr:cNvPr id="16" name="Graphic 15" descr="Open book with solid fill">
          <a:extLst>
            <a:ext uri="{FF2B5EF4-FFF2-40B4-BE49-F238E27FC236}">
              <a16:creationId xmlns:a16="http://schemas.microsoft.com/office/drawing/2014/main" id="{81DB015C-EDF1-054B-7B5F-1D2D5653E247}"/>
            </a:ext>
            <a:ext uri="{147F2762-F138-4A5C-976F-8EAC2B608ADB}">
              <a16:predDERef xmlns:a16="http://schemas.microsoft.com/office/drawing/2014/main" pred="{37BEB21C-6FCB-546A-A2F0-141E2013981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rot="10800000" flipV="1">
          <a:off x="3708398" y="1083733"/>
          <a:ext cx="406401" cy="406401"/>
        </a:xfrm>
        <a:prstGeom prst="rect">
          <a:avLst/>
        </a:prstGeom>
      </xdr:spPr>
    </xdr:pic>
    <xdr:clientData/>
  </xdr:twoCellAnchor>
  <xdr:twoCellAnchor editAs="oneCell">
    <xdr:from>
      <xdr:col>9</xdr:col>
      <xdr:colOff>180103</xdr:colOff>
      <xdr:row>5</xdr:row>
      <xdr:rowOff>147973</xdr:rowOff>
    </xdr:from>
    <xdr:to>
      <xdr:col>9</xdr:col>
      <xdr:colOff>581380</xdr:colOff>
      <xdr:row>7</xdr:row>
      <xdr:rowOff>161521</xdr:rowOff>
    </xdr:to>
    <xdr:pic>
      <xdr:nvPicPr>
        <xdr:cNvPr id="17" name="Graphic 16" descr="Trophy with solid fill">
          <a:extLst>
            <a:ext uri="{FF2B5EF4-FFF2-40B4-BE49-F238E27FC236}">
              <a16:creationId xmlns:a16="http://schemas.microsoft.com/office/drawing/2014/main" id="{18F8DE40-AC00-00D5-DC86-2A25C50005C0}"/>
            </a:ext>
            <a:ext uri="{147F2762-F138-4A5C-976F-8EAC2B608ADB}">
              <a16:predDERef xmlns:a16="http://schemas.microsoft.com/office/drawing/2014/main" pred="{81DB015C-EDF1-054B-7B5F-1D2D5653E24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650872" y="1070623"/>
          <a:ext cx="401277" cy="382607"/>
        </a:xfrm>
        <a:prstGeom prst="rect">
          <a:avLst/>
        </a:prstGeom>
      </xdr:spPr>
    </xdr:pic>
    <xdr:clientData/>
  </xdr:twoCellAnchor>
  <xdr:twoCellAnchor editAs="oneCell">
    <xdr:from>
      <xdr:col>13</xdr:col>
      <xdr:colOff>110068</xdr:colOff>
      <xdr:row>5</xdr:row>
      <xdr:rowOff>110067</xdr:rowOff>
    </xdr:from>
    <xdr:to>
      <xdr:col>13</xdr:col>
      <xdr:colOff>519853</xdr:colOff>
      <xdr:row>7</xdr:row>
      <xdr:rowOff>130386</xdr:rowOff>
    </xdr:to>
    <xdr:pic>
      <xdr:nvPicPr>
        <xdr:cNvPr id="18" name="Graphic 17" descr="Warning with solid fill">
          <a:extLst>
            <a:ext uri="{FF2B5EF4-FFF2-40B4-BE49-F238E27FC236}">
              <a16:creationId xmlns:a16="http://schemas.microsoft.com/office/drawing/2014/main" id="{782A0CFF-779E-B0D7-980A-C603051E6735}"/>
            </a:ext>
            <a:ext uri="{147F2762-F138-4A5C-976F-8EAC2B608ADB}">
              <a16:predDERef xmlns:a16="http://schemas.microsoft.com/office/drawing/2014/main" pred="{18F8DE40-AC00-00D5-DC86-2A25C50005C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034868" y="1083734"/>
          <a:ext cx="409785" cy="409785"/>
        </a:xfrm>
        <a:prstGeom prst="rect">
          <a:avLst/>
        </a:prstGeom>
      </xdr:spPr>
    </xdr:pic>
    <xdr:clientData/>
  </xdr:twoCellAnchor>
  <xdr:twoCellAnchor>
    <xdr:from>
      <xdr:col>0</xdr:col>
      <xdr:colOff>201775</xdr:colOff>
      <xdr:row>18</xdr:row>
      <xdr:rowOff>29673</xdr:rowOff>
    </xdr:from>
    <xdr:to>
      <xdr:col>6</xdr:col>
      <xdr:colOff>269068</xdr:colOff>
      <xdr:row>29</xdr:row>
      <xdr:rowOff>0</xdr:rowOff>
    </xdr:to>
    <xdr:graphicFrame macro="">
      <xdr:nvGraphicFramePr>
        <xdr:cNvPr id="11" name="Chart 10">
          <a:extLst>
            <a:ext uri="{FF2B5EF4-FFF2-40B4-BE49-F238E27FC236}">
              <a16:creationId xmlns:a16="http://schemas.microsoft.com/office/drawing/2014/main" id="{C7449E21-B43E-4D22-B187-B5CA5C89C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333644</xdr:colOff>
      <xdr:row>18</xdr:row>
      <xdr:rowOff>43050</xdr:rowOff>
    </xdr:from>
    <xdr:to>
      <xdr:col>13</xdr:col>
      <xdr:colOff>611322</xdr:colOff>
      <xdr:row>30</xdr:row>
      <xdr:rowOff>21525</xdr:rowOff>
    </xdr:to>
    <xdr:graphicFrame macro="">
      <xdr:nvGraphicFramePr>
        <xdr:cNvPr id="19" name="Chart 18">
          <a:extLst>
            <a:ext uri="{FF2B5EF4-FFF2-40B4-BE49-F238E27FC236}">
              <a16:creationId xmlns:a16="http://schemas.microsoft.com/office/drawing/2014/main" id="{2A300E46-30B5-46DC-A1C1-EBA9529E2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12</xdr:col>
      <xdr:colOff>417286</xdr:colOff>
      <xdr:row>8</xdr:row>
      <xdr:rowOff>48382</xdr:rowOff>
    </xdr:from>
    <xdr:to>
      <xdr:col>15</xdr:col>
      <xdr:colOff>350762</xdr:colOff>
      <xdr:row>18</xdr:row>
      <xdr:rowOff>12096</xdr:rowOff>
    </xdr:to>
    <mc:AlternateContent xmlns:mc="http://schemas.openxmlformats.org/markup-compatibility/2006" xmlns:a14="http://schemas.microsoft.com/office/drawing/2010/main">
      <mc:Choice Requires="a14">
        <xdr:graphicFrame macro="">
          <xdr:nvGraphicFramePr>
            <xdr:cNvPr id="20" name="Class 1">
              <a:extLst>
                <a:ext uri="{FF2B5EF4-FFF2-40B4-BE49-F238E27FC236}">
                  <a16:creationId xmlns:a16="http://schemas.microsoft.com/office/drawing/2014/main" id="{CEDE77BA-72EF-4725-B7B4-93860CA728A0}"/>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mlns="">
        <xdr:sp macro="" textlink="">
          <xdr:nvSpPr>
            <xdr:cNvPr id="0" name=""/>
            <xdr:cNvSpPr>
              <a:spLocks noTextEdit="1"/>
            </xdr:cNvSpPr>
          </xdr:nvSpPr>
          <xdr:spPr>
            <a:xfrm>
              <a:off x="7705982" y="1484034"/>
              <a:ext cx="1755650" cy="175827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40937</xdr:colOff>
      <xdr:row>19</xdr:row>
      <xdr:rowOff>106533</xdr:rowOff>
    </xdr:from>
    <xdr:to>
      <xdr:col>15</xdr:col>
      <xdr:colOff>554984</xdr:colOff>
      <xdr:row>28</xdr:row>
      <xdr:rowOff>136769</xdr:rowOff>
    </xdr:to>
    <mc:AlternateContent xmlns:mc="http://schemas.openxmlformats.org/markup-compatibility/2006" xmlns:a14="http://schemas.microsoft.com/office/drawing/2010/main">
      <mc:Choice Requires="a14">
        <xdr:graphicFrame macro="">
          <xdr:nvGraphicFramePr>
            <xdr:cNvPr id="21" name="Term 1">
              <a:extLst>
                <a:ext uri="{FF2B5EF4-FFF2-40B4-BE49-F238E27FC236}">
                  <a16:creationId xmlns:a16="http://schemas.microsoft.com/office/drawing/2014/main" id="{F378F2D2-97F8-4C0D-A2ED-91624584B134}"/>
                </a:ext>
              </a:extLst>
            </xdr:cNvPr>
            <xdr:cNvGraphicFramePr/>
          </xdr:nvGraphicFramePr>
          <xdr:xfrm>
            <a:off x="0" y="0"/>
            <a:ext cx="0" cy="0"/>
          </xdr:xfrm>
          <a:graphic>
            <a:graphicData uri="http://schemas.microsoft.com/office/drawing/2010/slicer">
              <sle:slicer xmlns:sle="http://schemas.microsoft.com/office/drawing/2010/slicer" name="Term 1"/>
            </a:graphicData>
          </a:graphic>
        </xdr:graphicFrame>
      </mc:Choice>
      <mc:Fallback xmlns="">
        <xdr:sp macro="" textlink="">
          <xdr:nvSpPr>
            <xdr:cNvPr id="0" name=""/>
            <xdr:cNvSpPr>
              <a:spLocks noTextEdit="1"/>
            </xdr:cNvSpPr>
          </xdr:nvSpPr>
          <xdr:spPr>
            <a:xfrm>
              <a:off x="8544415" y="3516207"/>
              <a:ext cx="1121439" cy="164534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207066</xdr:colOff>
      <xdr:row>30</xdr:row>
      <xdr:rowOff>73835</xdr:rowOff>
    </xdr:from>
    <xdr:to>
      <xdr:col>15</xdr:col>
      <xdr:colOff>483152</xdr:colOff>
      <xdr:row>43</xdr:row>
      <xdr:rowOff>96630</xdr:rowOff>
    </xdr:to>
    <xdr:sp macro="" textlink="">
      <xdr:nvSpPr>
        <xdr:cNvPr id="22" name="TextBox 21">
          <a:extLst>
            <a:ext uri="{FF2B5EF4-FFF2-40B4-BE49-F238E27FC236}">
              <a16:creationId xmlns:a16="http://schemas.microsoft.com/office/drawing/2014/main" id="{9C10B75B-F2DD-B125-26A7-419961A07E2A}"/>
            </a:ext>
          </a:extLst>
        </xdr:cNvPr>
        <xdr:cNvSpPr txBox="1"/>
      </xdr:nvSpPr>
      <xdr:spPr>
        <a:xfrm>
          <a:off x="207066" y="5457531"/>
          <a:ext cx="9386956" cy="235572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tx1"/>
              </a:solidFill>
            </a:rPr>
            <a:t>MESSAGE TO THE PRINCIPAL</a:t>
          </a:r>
        </a:p>
        <a:p>
          <a:pPr algn="l"/>
          <a:r>
            <a:rPr lang="en-US" sz="1600" b="0">
              <a:solidFill>
                <a:schemeClr val="tx1"/>
              </a:solidFill>
            </a:rPr>
            <a:t>The Analysis</a:t>
          </a:r>
          <a:r>
            <a:rPr lang="en-US" sz="1600" b="0" baseline="0">
              <a:solidFill>
                <a:schemeClr val="tx1"/>
              </a:solidFill>
            </a:rPr>
            <a:t> of GreenField School result provides an overview of students performance across three terms.</a:t>
          </a:r>
        </a:p>
        <a:p>
          <a:pPr algn="l"/>
          <a:r>
            <a:rPr lang="en-US" sz="1600" b="0" baseline="0">
              <a:solidFill>
                <a:schemeClr val="tx1"/>
              </a:solidFill>
            </a:rPr>
            <a:t>1. The best performing class was JSS3B.</a:t>
          </a:r>
        </a:p>
        <a:p>
          <a:pPr algn="l"/>
          <a:r>
            <a:rPr lang="en-US" sz="1600" b="0" baseline="0">
              <a:solidFill>
                <a:schemeClr val="tx1"/>
              </a:solidFill>
            </a:rPr>
            <a:t>2. Maths subject recorded the lowest average score.</a:t>
          </a:r>
        </a:p>
        <a:p>
          <a:pPr algn="l"/>
          <a:r>
            <a:rPr lang="en-US" sz="1600" b="0" baseline="0">
              <a:solidFill>
                <a:schemeClr val="tx1"/>
              </a:solidFill>
            </a:rPr>
            <a:t>3. A total of 32 students scored below 50 in the third term and may require additional academic support. </a:t>
          </a:r>
        </a:p>
        <a:p>
          <a:pPr algn="l"/>
          <a:r>
            <a:rPr lang="en-US" sz="1600" b="0" baseline="0">
              <a:solidFill>
                <a:schemeClr val="tx1"/>
              </a:solidFill>
            </a:rPr>
            <a:t> I recommend that before major decisions, check attendance and whether the assessment</a:t>
          </a:r>
          <a:r>
            <a:rPr lang="en-US" sz="1800" b="0" baseline="0">
              <a:solidFill>
                <a:schemeClr val="tx1"/>
              </a:solidFill>
            </a:rPr>
            <a:t> were </a:t>
          </a:r>
          <a:r>
            <a:rPr lang="en-US" sz="1600" b="0" baseline="0">
              <a:solidFill>
                <a:schemeClr val="tx1"/>
              </a:solidFill>
            </a:rPr>
            <a:t>comparable across terms.</a:t>
          </a:r>
        </a:p>
        <a:p>
          <a:pPr algn="l"/>
          <a:endParaRPr lang="en-NG" sz="1800" b="0">
            <a:solidFill>
              <a:schemeClr val="tx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gbi patience ebosetale" refreshedDate="46323.871406597224" createdVersion="8" refreshedVersion="8" minRefreshableVersion="3" recordCount="18" xr:uid="{236BE3D5-B4C9-4B05-826C-7E254F1751B4}">
  <cacheSource type="worksheet">
    <worksheetSource name="Table3"/>
  </cacheSource>
  <cacheFields count="5">
    <cacheField name="CLASS" numFmtId="0">
      <sharedItems count="6">
        <s v="JSS1A"/>
        <s v="JSS1B"/>
        <s v="JSS2A"/>
        <s v="JSS2B"/>
        <s v="JSS3A"/>
        <s v="JSS3B"/>
      </sharedItems>
    </cacheField>
    <cacheField name="TERM" numFmtId="0">
      <sharedItems count="3">
        <s v="First Term"/>
        <s v="Second Term"/>
        <s v="Third Term"/>
      </sharedItems>
    </cacheField>
    <cacheField name="STUDENTS" numFmtId="0">
      <sharedItems containsSemiMixedTypes="0" containsString="0" containsNumber="1" containsInteger="1" minValue="40" maxValue="40"/>
    </cacheField>
    <cacheField name="AVERAGE" numFmtId="164">
      <sharedItems containsSemiMixedTypes="0" containsString="0" containsNumber="1" minValue="57.662499999999987" maxValue="66.724999999999994"/>
    </cacheField>
    <cacheField name="PASS RATE" numFmtId="9">
      <sharedItems containsSemiMixedTypes="0" containsString="0" containsNumber="1" minValue="0.75" maxValue="0.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gbi patience ebosetale" refreshedDate="46323.879418055556" createdVersion="8" refreshedVersion="8" minRefreshableVersion="3" recordCount="6" xr:uid="{7360FB8C-8ECC-4904-A5E6-25420DE2002F}">
  <cacheSource type="worksheet">
    <worksheetSource name="Table4"/>
  </cacheSource>
  <cacheFields count="5">
    <cacheField name="SUBJECT" numFmtId="0">
      <sharedItems count="6">
        <s v="MATHS"/>
        <s v="ENGLISH"/>
        <s v="BASIC SCIENCE"/>
        <s v="SOCIAL STUDIES"/>
        <s v="COMPUTER SCIENCE"/>
        <s v="CIVIC EDUCATION"/>
      </sharedItems>
    </cacheField>
    <cacheField name="ALL TERMS AVERAGE" numFmtId="164">
      <sharedItems containsSemiMixedTypes="0" containsString="0" containsNumber="1" minValue="55.414464534075101" maxValue="67.319444444444443"/>
    </cacheField>
    <cacheField name="FIRST TERM" numFmtId="164">
      <sharedItems containsSemiMixedTypes="0" containsString="0" containsNumber="1" minValue="53.174999999999997" maxValue="65.037499999999994"/>
    </cacheField>
    <cacheField name="SECOND TERM" numFmtId="164">
      <sharedItems containsSemiMixedTypes="0" containsString="0" containsNumber="1" minValue="55.661087866108787" maxValue="67.612499999999997"/>
    </cacheField>
    <cacheField name="THIRD TERM" numFmtId="164">
      <sharedItems containsSemiMixedTypes="0" containsString="0" containsNumber="1" minValue="57.408333333333331" maxValue="69.30833333333333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gbi patience ebosetale" refreshedDate="46325.100725694443" createdVersion="8" refreshedVersion="8" minRefreshableVersion="3" recordCount="720" xr:uid="{0FB4AF19-590A-42A8-9A87-E2D2C32EE072}">
  <cacheSource type="worksheet">
    <worksheetSource name="Table1"/>
  </cacheSource>
  <cacheFields count="15">
    <cacheField name="Student ID" numFmtId="0">
      <sharedItems/>
    </cacheField>
    <cacheField name="Student Name" numFmtId="0">
      <sharedItems/>
    </cacheField>
    <cacheField name="Gender" numFmtId="0">
      <sharedItems/>
    </cacheField>
    <cacheField name="Class" numFmtId="0">
      <sharedItems count="6">
        <s v="JSS1A"/>
        <s v="JSS1B"/>
        <s v="JSS2A"/>
        <s v="JSS2B"/>
        <s v="JSS3A"/>
        <s v="JSS3B"/>
      </sharedItems>
    </cacheField>
    <cacheField name="Term" numFmtId="0">
      <sharedItems count="3">
        <s v="First Term"/>
        <s v="Second Term"/>
        <s v="Third Term"/>
      </sharedItems>
    </cacheField>
    <cacheField name="Maths" numFmtId="0">
      <sharedItems containsString="0" containsBlank="1" containsNumber="1" containsInteger="1" minValue="12" maxValue="98"/>
    </cacheField>
    <cacheField name="English" numFmtId="0">
      <sharedItems containsString="0" containsBlank="1" containsNumber="1" containsInteger="1" minValue="13" maxValue="98"/>
    </cacheField>
    <cacheField name="Basic Science" numFmtId="0">
      <sharedItems containsString="0" containsBlank="1" containsNumber="1" containsInteger="1" minValue="16" maxValue="98"/>
    </cacheField>
    <cacheField name="Social Studies" numFmtId="0">
      <sharedItems containsString="0" containsBlank="1" containsNumber="1" containsInteger="1" minValue="18" maxValue="98"/>
    </cacheField>
    <cacheField name="Computer Studies" numFmtId="0">
      <sharedItems containsString="0" containsBlank="1" containsNumber="1" containsInteger="1" minValue="18" maxValue="98"/>
    </cacheField>
    <cacheField name="Civic Education" numFmtId="0">
      <sharedItems containsSemiMixedTypes="0" containsString="0" containsNumber="1" containsInteger="1" minValue="21" maxValue="98"/>
    </cacheField>
    <cacheField name="Total" numFmtId="0">
      <sharedItems containsSemiMixedTypes="0" containsString="0" containsNumber="1" containsInteger="1" minValue="115" maxValue="580"/>
    </cacheField>
    <cacheField name="Average" numFmtId="164">
      <sharedItems containsSemiMixedTypes="0" containsString="0" containsNumber="1" minValue="19.166666666666668" maxValue="96.666666666666671"/>
    </cacheField>
    <cacheField name="Grade" numFmtId="0">
      <sharedItems/>
    </cacheField>
    <cacheField name="Class Rank" numFmtId="0">
      <sharedItems containsSemiMixedTypes="0" containsString="0" containsNumber="1" containsInteger="1" minValue="1" maxValue="40"/>
    </cacheField>
  </cacheFields>
  <extLst>
    <ext xmlns:x14="http://schemas.microsoft.com/office/spreadsheetml/2009/9/main" uri="{725AE2AE-9491-48be-B2B4-4EB974FC3084}">
      <x14:pivotCacheDefinition pivotCacheId="20316959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n v="40"/>
    <n v="60.008333333333347"/>
    <n v="0.77500000000000002"/>
  </r>
  <r>
    <x v="0"/>
    <x v="1"/>
    <n v="40"/>
    <n v="61.95"/>
    <n v="0.82499999999999996"/>
  </r>
  <r>
    <x v="0"/>
    <x v="2"/>
    <n v="40"/>
    <n v="63.168333333333337"/>
    <n v="0.9"/>
  </r>
  <r>
    <x v="1"/>
    <x v="0"/>
    <n v="40"/>
    <n v="59.189583333333346"/>
    <n v="0.9"/>
  </r>
  <r>
    <x v="1"/>
    <x v="1"/>
    <n v="40"/>
    <n v="61.691666666666677"/>
    <n v="0.9"/>
  </r>
  <r>
    <x v="1"/>
    <x v="2"/>
    <n v="40"/>
    <n v="63.540000000000006"/>
    <n v="0.9"/>
  </r>
  <r>
    <x v="2"/>
    <x v="0"/>
    <n v="40"/>
    <n v="61.479166666666664"/>
    <n v="0.77500000000000002"/>
  </r>
  <r>
    <x v="2"/>
    <x v="1"/>
    <n v="40"/>
    <n v="64.299166666666665"/>
    <n v="0.875"/>
  </r>
  <r>
    <x v="2"/>
    <x v="2"/>
    <n v="40"/>
    <n v="65.5625"/>
    <n v="0.85"/>
  </r>
  <r>
    <x v="3"/>
    <x v="0"/>
    <n v="40"/>
    <n v="61.579166666666666"/>
    <n v="0.82499999999999996"/>
  </r>
  <r>
    <x v="3"/>
    <x v="1"/>
    <n v="40"/>
    <n v="63.541666666666664"/>
    <n v="0.875"/>
  </r>
  <r>
    <x v="3"/>
    <x v="2"/>
    <n v="40"/>
    <n v="64.925000000000011"/>
    <n v="0.85"/>
  </r>
  <r>
    <x v="4"/>
    <x v="0"/>
    <n v="40"/>
    <n v="57.662499999999987"/>
    <n v="0.75"/>
  </r>
  <r>
    <x v="4"/>
    <x v="1"/>
    <n v="40"/>
    <n v="59.975000000000009"/>
    <n v="0.82499999999999996"/>
  </r>
  <r>
    <x v="4"/>
    <x v="2"/>
    <n v="40"/>
    <n v="62.65"/>
    <n v="0.8"/>
  </r>
  <r>
    <x v="5"/>
    <x v="0"/>
    <n v="40"/>
    <n v="60.67499999999999"/>
    <n v="0.85"/>
  </r>
  <r>
    <x v="5"/>
    <x v="1"/>
    <n v="40"/>
    <n v="63.465833333333329"/>
    <n v="0.9"/>
  </r>
  <r>
    <x v="5"/>
    <x v="2"/>
    <n v="40"/>
    <n v="66.724999999999994"/>
    <n v="0.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55.414464534075101"/>
    <n v="53.174999999999997"/>
    <n v="55.661087866108787"/>
    <n v="57.408333333333331"/>
  </r>
  <r>
    <x v="1"/>
    <n v="61.453910614525142"/>
    <n v="59.3125"/>
    <n v="61.260504201680675"/>
    <n v="63.806722689075627"/>
  </r>
  <r>
    <x v="2"/>
    <n v="59.437150837988824"/>
    <n v="56.87394957983193"/>
    <n v="59.652719665271967"/>
    <n v="61.77405857740586"/>
  </r>
  <r>
    <x v="3"/>
    <n v="64.763560500695405"/>
    <n v="63.012552301255234"/>
    <n v="65.125"/>
    <n v="66.145833333333329"/>
  </r>
  <r>
    <x v="4"/>
    <n v="65.607242339832865"/>
    <n v="63.30252100840336"/>
    <n v="65.433333333333337"/>
    <n v="68.066666666666663"/>
  </r>
  <r>
    <x v="5"/>
    <n v="67.319444444444443"/>
    <n v="65.037499999999994"/>
    <n v="67.612499999999997"/>
    <n v="69.30833333333333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s v="STU001"/>
    <s v="John Danjuma"/>
    <s v="Male"/>
    <x v="0"/>
    <x v="0"/>
    <n v="74"/>
    <n v="69"/>
    <n v="69"/>
    <n v="84"/>
    <n v="91"/>
    <n v="87"/>
    <n v="474"/>
    <n v="79"/>
    <s v="A"/>
    <n v="2"/>
  </r>
  <r>
    <s v="STU001"/>
    <s v="John Danjuma"/>
    <s v="Male"/>
    <x v="0"/>
    <x v="1"/>
    <n v="79"/>
    <n v="88"/>
    <n v="82"/>
    <n v="73"/>
    <n v="80"/>
    <n v="87"/>
    <n v="489"/>
    <n v="81.5"/>
    <s v="A"/>
    <n v="3"/>
  </r>
  <r>
    <s v="STU001"/>
    <s v="John Danjuma"/>
    <s v="Male"/>
    <x v="0"/>
    <x v="2"/>
    <n v="67"/>
    <n v="79"/>
    <n v="63"/>
    <n v="73"/>
    <n v="84"/>
    <n v="67"/>
    <n v="433"/>
    <n v="72.166666666666671"/>
    <s v="A"/>
    <n v="8"/>
  </r>
  <r>
    <s v="STU002"/>
    <s v="Damilola Danjuma"/>
    <s v="Female"/>
    <x v="0"/>
    <x v="0"/>
    <n v="37"/>
    <n v="51"/>
    <n v="37"/>
    <n v="54"/>
    <n v="49"/>
    <n v="55"/>
    <n v="283"/>
    <n v="47.166666666666664"/>
    <s v="D"/>
    <n v="35"/>
  </r>
  <r>
    <s v="STU002"/>
    <s v="Damilola Danjuma"/>
    <s v="Female"/>
    <x v="0"/>
    <x v="1"/>
    <n v="41"/>
    <n v="50"/>
    <n v="43"/>
    <n v="53"/>
    <n v="49"/>
    <n v="59"/>
    <n v="295"/>
    <n v="49.166666666666664"/>
    <s v="D"/>
    <n v="34"/>
  </r>
  <r>
    <s v="STU002"/>
    <s v="Damilola Danjuma"/>
    <s v="Female"/>
    <x v="0"/>
    <x v="2"/>
    <n v="53"/>
    <n v="49"/>
    <n v="46"/>
    <n v="42"/>
    <n v="56"/>
    <n v="48"/>
    <n v="294"/>
    <n v="49"/>
    <s v="D"/>
    <n v="37"/>
  </r>
  <r>
    <s v="STU003"/>
    <s v="Khadija Johnson"/>
    <s v="Female"/>
    <x v="0"/>
    <x v="0"/>
    <n v="56"/>
    <n v="71"/>
    <n v="67"/>
    <n v="78"/>
    <n v="81"/>
    <n v="70"/>
    <n v="423"/>
    <n v="70.5"/>
    <s v="A"/>
    <n v="8"/>
  </r>
  <r>
    <s v="STU003"/>
    <s v="Khadija Johnson"/>
    <s v="Female"/>
    <x v="0"/>
    <x v="1"/>
    <n v="56"/>
    <n v="74"/>
    <n v="66"/>
    <n v="69"/>
    <n v="74"/>
    <n v="63"/>
    <n v="402"/>
    <n v="67"/>
    <s v="B"/>
    <n v="13"/>
  </r>
  <r>
    <s v="STU003"/>
    <s v="Khadija Johnson"/>
    <s v="Female"/>
    <x v="0"/>
    <x v="2"/>
    <n v="54"/>
    <n v="65"/>
    <n v="65"/>
    <n v="53"/>
    <n v="58"/>
    <n v="64"/>
    <n v="359"/>
    <n v="59.833333333333336"/>
    <s v="C"/>
    <n v="26"/>
  </r>
  <r>
    <s v="STU004"/>
    <s v="Favour Yakubu"/>
    <s v="Female"/>
    <x v="0"/>
    <x v="0"/>
    <n v="70"/>
    <n v="75"/>
    <n v="81"/>
    <n v="78"/>
    <n v="69"/>
    <n v="86"/>
    <n v="459"/>
    <n v="76.5"/>
    <s v="A"/>
    <n v="4"/>
  </r>
  <r>
    <s v="STU004"/>
    <s v="Favour Yakubu"/>
    <s v="Female"/>
    <x v="0"/>
    <x v="1"/>
    <n v="68"/>
    <n v="72"/>
    <n v="64"/>
    <n v="87"/>
    <n v="66"/>
    <n v="71"/>
    <n v="428"/>
    <n v="71.333333333333329"/>
    <s v="A"/>
    <n v="8"/>
  </r>
  <r>
    <s v="STU004"/>
    <s v="Favour Yakubu"/>
    <s v="Female"/>
    <x v="0"/>
    <x v="2"/>
    <n v="69"/>
    <n v="85"/>
    <n v="84"/>
    <n v="72"/>
    <n v="79"/>
    <n v="72"/>
    <n v="461"/>
    <n v="76.833333333333329"/>
    <s v="A"/>
    <n v="4"/>
  </r>
  <r>
    <s v="STU005"/>
    <s v="Emeka Olawale"/>
    <s v="Male"/>
    <x v="0"/>
    <x v="0"/>
    <n v="62"/>
    <n v="50"/>
    <n v="58"/>
    <n v="71"/>
    <n v="63"/>
    <n v="77"/>
    <n v="381"/>
    <n v="63.5"/>
    <s v="B"/>
    <n v="13"/>
  </r>
  <r>
    <s v="STU005"/>
    <s v="Emeka Olawale"/>
    <s v="Male"/>
    <x v="0"/>
    <x v="1"/>
    <n v="50"/>
    <n v="65"/>
    <n v="66"/>
    <n v="64"/>
    <n v="76"/>
    <n v="72"/>
    <n v="393"/>
    <n v="65.5"/>
    <s v="B"/>
    <n v="17"/>
  </r>
  <r>
    <s v="STU005"/>
    <s v="Emeka Olawale"/>
    <s v="Male"/>
    <x v="0"/>
    <x v="2"/>
    <n v="46"/>
    <n v="91"/>
    <n v="66"/>
    <n v="67"/>
    <n v="57"/>
    <n v="70"/>
    <n v="397"/>
    <n v="66.166666666666671"/>
    <s v="B"/>
    <n v="17"/>
  </r>
  <r>
    <s v="STU006"/>
    <s v="John Anyanwu"/>
    <s v="Male"/>
    <x v="0"/>
    <x v="0"/>
    <n v="65"/>
    <n v="79"/>
    <n v="75"/>
    <n v="91"/>
    <n v="80"/>
    <n v="84"/>
    <n v="474"/>
    <n v="79"/>
    <s v="A"/>
    <n v="2"/>
  </r>
  <r>
    <s v="STU006"/>
    <s v="John Anyanwu"/>
    <s v="Male"/>
    <x v="0"/>
    <x v="1"/>
    <n v="66"/>
    <n v="68"/>
    <n v="66"/>
    <n v="80"/>
    <n v="79"/>
    <n v="71"/>
    <n v="430"/>
    <n v="71.666666666666671"/>
    <s v="A"/>
    <n v="7"/>
  </r>
  <r>
    <s v="STU006"/>
    <s v="John Anyanwu"/>
    <s v="Male"/>
    <x v="0"/>
    <x v="2"/>
    <n v="50"/>
    <m/>
    <n v="70"/>
    <n v="67"/>
    <n v="80"/>
    <n v="65"/>
    <n v="332"/>
    <n v="66.400000000000006"/>
    <s v="B"/>
    <n v="15"/>
  </r>
  <r>
    <s v="STU007"/>
    <s v="Zainab Ogunleye"/>
    <s v="Female"/>
    <x v="0"/>
    <x v="0"/>
    <n v="48"/>
    <n v="36"/>
    <n v="47"/>
    <n v="54"/>
    <n v="61"/>
    <n v="71"/>
    <n v="317"/>
    <n v="52.833333333333336"/>
    <s v="C"/>
    <n v="29"/>
  </r>
  <r>
    <s v="STU007"/>
    <s v="Zainab Ogunleye"/>
    <s v="Female"/>
    <x v="0"/>
    <x v="1"/>
    <n v="48"/>
    <n v="64"/>
    <n v="56"/>
    <n v="64"/>
    <n v="55"/>
    <n v="69"/>
    <n v="356"/>
    <n v="59.333333333333336"/>
    <s v="C"/>
    <n v="23"/>
  </r>
  <r>
    <s v="STU007"/>
    <s v="Zainab Ogunleye"/>
    <s v="Female"/>
    <x v="0"/>
    <x v="2"/>
    <n v="41"/>
    <n v="58"/>
    <n v="46"/>
    <n v="54"/>
    <n v="48"/>
    <n v="57"/>
    <n v="304"/>
    <n v="50.666666666666664"/>
    <s v="C"/>
    <n v="35"/>
  </r>
  <r>
    <s v="STU008"/>
    <s v="Obiageli Umar"/>
    <s v="Female"/>
    <x v="0"/>
    <x v="0"/>
    <n v="67"/>
    <n v="70"/>
    <n v="59"/>
    <n v="84"/>
    <n v="77"/>
    <n v="84"/>
    <n v="441"/>
    <n v="73.5"/>
    <s v="A"/>
    <n v="7"/>
  </r>
  <r>
    <s v="STU008"/>
    <s v="Obiageli Umar"/>
    <s v="Female"/>
    <x v="0"/>
    <x v="1"/>
    <n v="68"/>
    <n v="64"/>
    <n v="53"/>
    <n v="65"/>
    <n v="81"/>
    <n v="67"/>
    <n v="398"/>
    <n v="66.333333333333329"/>
    <s v="B"/>
    <n v="14"/>
  </r>
  <r>
    <s v="STU008"/>
    <s v="Obiageli Umar"/>
    <s v="Female"/>
    <x v="0"/>
    <x v="2"/>
    <n v="67"/>
    <n v="63"/>
    <n v="68"/>
    <n v="57"/>
    <n v="79"/>
    <n v="73"/>
    <n v="407"/>
    <n v="67.833333333333329"/>
    <s v="B"/>
    <n v="14"/>
  </r>
  <r>
    <s v="STU009"/>
    <s v="Nkechi Adebayo"/>
    <s v="Female"/>
    <x v="0"/>
    <x v="0"/>
    <n v="55"/>
    <n v="56"/>
    <n v="59"/>
    <n v="57"/>
    <n v="64"/>
    <n v="50"/>
    <n v="341"/>
    <n v="56.833333333333336"/>
    <s v="C"/>
    <n v="24"/>
  </r>
  <r>
    <s v="STU009"/>
    <s v="Nkechi Adebayo"/>
    <s v="Female"/>
    <x v="0"/>
    <x v="1"/>
    <n v="40"/>
    <n v="59"/>
    <n v="52"/>
    <n v="55"/>
    <n v="57"/>
    <n v="63"/>
    <n v="326"/>
    <n v="54.333333333333336"/>
    <s v="C"/>
    <n v="28"/>
  </r>
  <r>
    <s v="STU009"/>
    <s v="Nkechi Adebayo"/>
    <s v="Female"/>
    <x v="0"/>
    <x v="2"/>
    <n v="43"/>
    <n v="56"/>
    <n v="44"/>
    <n v="53"/>
    <n v="64"/>
    <n v="66"/>
    <n v="326"/>
    <n v="54.333333333333336"/>
    <s v="C"/>
    <n v="31"/>
  </r>
  <r>
    <s v="STU010"/>
    <s v="Olumide Umar"/>
    <s v="Male"/>
    <x v="0"/>
    <x v="0"/>
    <n v="44"/>
    <n v="63"/>
    <n v="48"/>
    <n v="66"/>
    <n v="48"/>
    <n v="56"/>
    <n v="325"/>
    <n v="54.166666666666664"/>
    <s v="C"/>
    <n v="27"/>
  </r>
  <r>
    <s v="STU010"/>
    <s v="Olumide Umar"/>
    <s v="Male"/>
    <x v="0"/>
    <x v="1"/>
    <n v="52"/>
    <n v="60"/>
    <n v="70"/>
    <n v="71"/>
    <n v="77"/>
    <n v="76"/>
    <n v="406"/>
    <n v="67.666666666666671"/>
    <s v="B"/>
    <n v="11"/>
  </r>
  <r>
    <s v="STU010"/>
    <s v="Olumide Umar"/>
    <s v="Male"/>
    <x v="0"/>
    <x v="2"/>
    <n v="58"/>
    <n v="64"/>
    <n v="71"/>
    <n v="69"/>
    <n v="68"/>
    <n v="62"/>
    <n v="392"/>
    <n v="65.333333333333329"/>
    <s v="B"/>
    <n v="18"/>
  </r>
  <r>
    <s v="STU011"/>
    <s v="Daniel Onyeka"/>
    <s v="Male"/>
    <x v="0"/>
    <x v="0"/>
    <n v="37"/>
    <n v="24"/>
    <n v="39"/>
    <n v="40"/>
    <n v="53"/>
    <n v="46"/>
    <n v="239"/>
    <n v="39.833333333333336"/>
    <s v="F"/>
    <n v="40"/>
  </r>
  <r>
    <s v="STU011"/>
    <s v="Daniel Onyeka"/>
    <s v="Male"/>
    <x v="0"/>
    <x v="1"/>
    <n v="41"/>
    <n v="59"/>
    <n v="40"/>
    <n v="55"/>
    <n v="41"/>
    <n v="56"/>
    <n v="292"/>
    <n v="48.666666666666664"/>
    <s v="D"/>
    <n v="35"/>
  </r>
  <r>
    <s v="STU011"/>
    <s v="Daniel Onyeka"/>
    <s v="Male"/>
    <x v="0"/>
    <x v="2"/>
    <n v="53"/>
    <n v="62"/>
    <m/>
    <n v="61"/>
    <n v="62"/>
    <n v="62"/>
    <n v="300"/>
    <n v="60"/>
    <s v="B"/>
    <n v="25"/>
  </r>
  <r>
    <s v="STU012"/>
    <s v="Daniel Kalu"/>
    <s v="Male"/>
    <x v="0"/>
    <x v="2"/>
    <n v="63"/>
    <n v="74"/>
    <n v="70"/>
    <n v="79"/>
    <n v="77"/>
    <n v="80"/>
    <n v="443"/>
    <n v="73.833333333333329"/>
    <s v="A"/>
    <n v="6"/>
  </r>
  <r>
    <s v="STU012"/>
    <s v="Daniel Kalu"/>
    <s v="Male"/>
    <x v="0"/>
    <x v="0"/>
    <n v="63"/>
    <n v="71"/>
    <n v="69"/>
    <n v="64"/>
    <n v="63"/>
    <n v="91"/>
    <n v="421"/>
    <n v="70.166666666666671"/>
    <s v="A"/>
    <n v="9"/>
  </r>
  <r>
    <s v="STU012"/>
    <s v="Daniel Kalu"/>
    <s v="Male"/>
    <x v="0"/>
    <x v="1"/>
    <n v="79"/>
    <n v="62"/>
    <n v="73"/>
    <n v="79"/>
    <n v="81"/>
    <n v="79"/>
    <n v="453"/>
    <n v="75.5"/>
    <s v="A"/>
    <n v="6"/>
  </r>
  <r>
    <s v="STU013"/>
    <s v="Sani Adewale"/>
    <s v="Male"/>
    <x v="0"/>
    <x v="0"/>
    <n v="69"/>
    <n v="76"/>
    <n v="58"/>
    <n v="68"/>
    <n v="66"/>
    <n v="82"/>
    <n v="419"/>
    <n v="69.833333333333329"/>
    <s v="B"/>
    <n v="10"/>
  </r>
  <r>
    <s v="STU013"/>
    <s v="Sani Adewale"/>
    <s v="Male"/>
    <x v="0"/>
    <x v="1"/>
    <n v="61"/>
    <n v="78"/>
    <n v="62"/>
    <n v="71"/>
    <n v="62"/>
    <n v="83"/>
    <n v="417"/>
    <n v="69.5"/>
    <s v="B"/>
    <n v="10"/>
  </r>
  <r>
    <s v="STU013"/>
    <s v="Sani Adewale"/>
    <s v="Male"/>
    <x v="0"/>
    <x v="2"/>
    <n v="58"/>
    <n v="57"/>
    <n v="61"/>
    <n v="54"/>
    <n v="71"/>
    <n v="74"/>
    <n v="375"/>
    <n v="62.5"/>
    <s v="B"/>
    <n v="23"/>
  </r>
  <r>
    <s v="STU014"/>
    <s v="Uchenna Ogundipe"/>
    <s v="Male"/>
    <x v="0"/>
    <x v="0"/>
    <n v="52"/>
    <n v="66"/>
    <n v="51"/>
    <n v="64"/>
    <n v="62"/>
    <n v="60"/>
    <n v="355"/>
    <n v="59.166666666666664"/>
    <s v="C"/>
    <n v="21"/>
  </r>
  <r>
    <s v="STU014"/>
    <s v="Uchenna Ogundipe"/>
    <s v="Male"/>
    <x v="0"/>
    <x v="1"/>
    <n v="34"/>
    <n v="61"/>
    <n v="49"/>
    <n v="57"/>
    <n v="49"/>
    <n v="62"/>
    <n v="312"/>
    <n v="52"/>
    <s v="C"/>
    <n v="33"/>
  </r>
  <r>
    <s v="STU014"/>
    <s v="Uchenna Ogundipe"/>
    <s v="Male"/>
    <x v="0"/>
    <x v="2"/>
    <n v="48"/>
    <n v="53"/>
    <n v="50"/>
    <n v="63"/>
    <n v="64"/>
    <n v="64"/>
    <n v="342"/>
    <n v="57"/>
    <s v="C"/>
    <n v="29"/>
  </r>
  <r>
    <s v="STU015"/>
    <s v="David Oladipo"/>
    <s v="Male"/>
    <x v="0"/>
    <x v="0"/>
    <n v="71"/>
    <n v="50"/>
    <n v="49"/>
    <n v="50"/>
    <n v="61"/>
    <n v="55"/>
    <n v="336"/>
    <n v="56"/>
    <s v="C"/>
    <n v="25"/>
  </r>
  <r>
    <s v="STU015"/>
    <s v="David Oladipo"/>
    <s v="Male"/>
    <x v="0"/>
    <x v="1"/>
    <n v="33"/>
    <n v="49"/>
    <n v="56"/>
    <n v="68"/>
    <n v="51"/>
    <n v="59"/>
    <n v="316"/>
    <n v="52.666666666666664"/>
    <s v="C"/>
    <n v="31"/>
  </r>
  <r>
    <s v="STU015"/>
    <s v="David Oladipo"/>
    <s v="Male"/>
    <x v="0"/>
    <x v="2"/>
    <n v="55"/>
    <n v="56"/>
    <n v="63"/>
    <n v="65"/>
    <n v="68"/>
    <n v="62"/>
    <n v="369"/>
    <n v="61.5"/>
    <s v="B"/>
    <n v="24"/>
  </r>
  <r>
    <s v="STU016"/>
    <s v="Tayo Ogundipe"/>
    <s v="Male"/>
    <x v="0"/>
    <x v="0"/>
    <n v="53"/>
    <n v="49"/>
    <n v="56"/>
    <n v="49"/>
    <n v="57"/>
    <n v="50"/>
    <n v="314"/>
    <n v="52.333333333333336"/>
    <s v="C"/>
    <n v="30"/>
  </r>
  <r>
    <s v="STU016"/>
    <s v="Tayo Ogundipe"/>
    <s v="Male"/>
    <x v="0"/>
    <x v="1"/>
    <n v="37"/>
    <n v="44"/>
    <n v="47"/>
    <n v="51"/>
    <n v="64"/>
    <n v="47"/>
    <n v="290"/>
    <n v="48.333333333333336"/>
    <s v="D"/>
    <n v="36"/>
  </r>
  <r>
    <s v="STU016"/>
    <s v="Tayo Ogundipe"/>
    <s v="Male"/>
    <x v="0"/>
    <x v="2"/>
    <n v="36"/>
    <n v="62"/>
    <n v="52"/>
    <n v="40"/>
    <n v="57"/>
    <n v="58"/>
    <n v="305"/>
    <n v="50.833333333333336"/>
    <s v="C"/>
    <n v="34"/>
  </r>
  <r>
    <s v="STU017"/>
    <s v="Ngozi Agu"/>
    <s v="Female"/>
    <x v="0"/>
    <x v="0"/>
    <n v="28"/>
    <n v="46"/>
    <n v="47"/>
    <n v="57"/>
    <n v="59"/>
    <n v="55"/>
    <n v="292"/>
    <n v="48.666666666666664"/>
    <s v="D"/>
    <n v="33"/>
  </r>
  <r>
    <s v="STU017"/>
    <s v="Ngozi Agu"/>
    <s v="Female"/>
    <x v="0"/>
    <x v="1"/>
    <n v="49"/>
    <n v="47"/>
    <n v="40"/>
    <n v="44"/>
    <n v="56"/>
    <n v="40"/>
    <n v="276"/>
    <n v="46"/>
    <s v="D"/>
    <n v="39"/>
  </r>
  <r>
    <s v="STU017"/>
    <s v="Ngozi Agu"/>
    <s v="Female"/>
    <x v="0"/>
    <x v="2"/>
    <n v="46"/>
    <n v="39"/>
    <n v="42"/>
    <n v="53"/>
    <n v="59"/>
    <n v="39"/>
    <n v="278"/>
    <n v="46.333333333333336"/>
    <s v="D"/>
    <n v="38"/>
  </r>
  <r>
    <s v="STU018"/>
    <s v="Dayo Williams"/>
    <s v="Male"/>
    <x v="0"/>
    <x v="0"/>
    <n v="37"/>
    <n v="49"/>
    <n v="43"/>
    <n v="58"/>
    <n v="38"/>
    <n v="57"/>
    <n v="282"/>
    <n v="47"/>
    <s v="D"/>
    <n v="36"/>
  </r>
  <r>
    <s v="STU018"/>
    <s v="Dayo Williams"/>
    <s v="Male"/>
    <x v="0"/>
    <x v="1"/>
    <n v="48"/>
    <n v="51"/>
    <n v="57"/>
    <n v="45"/>
    <n v="63"/>
    <n v="52"/>
    <n v="316"/>
    <n v="52.666666666666664"/>
    <s v="C"/>
    <n v="31"/>
  </r>
  <r>
    <s v="STU018"/>
    <s v="Dayo Williams"/>
    <s v="Male"/>
    <x v="0"/>
    <x v="2"/>
    <n v="52"/>
    <n v="51"/>
    <n v="57"/>
    <n v="61"/>
    <n v="47"/>
    <n v="58"/>
    <n v="326"/>
    <n v="54.333333333333336"/>
    <s v="C"/>
    <n v="31"/>
  </r>
  <r>
    <s v="STU019"/>
    <s v="Grace Olawale"/>
    <s v="Female"/>
    <x v="0"/>
    <x v="0"/>
    <n v="37"/>
    <n v="42"/>
    <n v="36"/>
    <n v="60"/>
    <n v="49"/>
    <n v="60"/>
    <n v="284"/>
    <n v="47.333333333333336"/>
    <s v="D"/>
    <n v="34"/>
  </r>
  <r>
    <s v="STU019"/>
    <s v="Grace Olawale"/>
    <s v="Female"/>
    <x v="0"/>
    <x v="1"/>
    <n v="36"/>
    <n v="39"/>
    <n v="45"/>
    <n v="45"/>
    <n v="67"/>
    <n v="54"/>
    <n v="286"/>
    <n v="47.666666666666664"/>
    <s v="D"/>
    <n v="37"/>
  </r>
  <r>
    <s v="STU019"/>
    <s v="Grace Olawale"/>
    <s v="Female"/>
    <x v="0"/>
    <x v="2"/>
    <n v="51"/>
    <n v="48"/>
    <n v="45"/>
    <n v="52"/>
    <n v="56"/>
    <n v="61"/>
    <n v="313"/>
    <n v="52.166666666666664"/>
    <s v="C"/>
    <n v="33"/>
  </r>
  <r>
    <s v="STU020"/>
    <s v="Abdullah Akinola"/>
    <s v="Male"/>
    <x v="0"/>
    <x v="2"/>
    <n v="79"/>
    <n v="93"/>
    <n v="81"/>
    <n v="90"/>
    <n v="93"/>
    <n v="97"/>
    <n v="533"/>
    <n v="88.833333333333329"/>
    <s v="A"/>
    <n v="1"/>
  </r>
  <r>
    <s v="STU020"/>
    <s v="Abdullah Akinola"/>
    <s v="Male"/>
    <x v="0"/>
    <x v="0"/>
    <n v="70"/>
    <n v="72"/>
    <n v="67"/>
    <n v="79"/>
    <n v="85"/>
    <n v="86"/>
    <n v="459"/>
    <n v="76.5"/>
    <s v="A"/>
    <n v="4"/>
  </r>
  <r>
    <s v="STU020"/>
    <s v="Abdullah Akinola"/>
    <s v="Male"/>
    <x v="0"/>
    <x v="1"/>
    <n v="75"/>
    <n v="77"/>
    <n v="81"/>
    <n v="89"/>
    <n v="85"/>
    <n v="88"/>
    <n v="495"/>
    <n v="82.5"/>
    <s v="A"/>
    <n v="1"/>
  </r>
  <r>
    <s v="STU021"/>
    <s v="John Ajayi"/>
    <s v="Male"/>
    <x v="0"/>
    <x v="0"/>
    <n v="59"/>
    <n v="59"/>
    <n v="57"/>
    <n v="47"/>
    <n v="63"/>
    <n v="77"/>
    <n v="362"/>
    <n v="60.333333333333336"/>
    <s v="B"/>
    <n v="19"/>
  </r>
  <r>
    <s v="STU021"/>
    <s v="John Ajayi"/>
    <s v="Male"/>
    <x v="0"/>
    <x v="1"/>
    <n v="42"/>
    <n v="46"/>
    <n v="50"/>
    <n v="64"/>
    <n v="61"/>
    <n v="56"/>
    <n v="319"/>
    <n v="53.166666666666664"/>
    <s v="C"/>
    <n v="30"/>
  </r>
  <r>
    <s v="STU021"/>
    <s v="John Ajayi"/>
    <s v="Male"/>
    <x v="0"/>
    <x v="2"/>
    <n v="46"/>
    <n v="60"/>
    <n v="55"/>
    <n v="72"/>
    <n v="64"/>
    <n v="61"/>
    <n v="358"/>
    <n v="59.666666666666664"/>
    <s v="C"/>
    <n v="27"/>
  </r>
  <r>
    <s v="STU022"/>
    <s v="Precious Bello"/>
    <s v="Female"/>
    <x v="0"/>
    <x v="2"/>
    <n v="65"/>
    <n v="52"/>
    <n v="73"/>
    <n v="77"/>
    <n v="68"/>
    <n v="74"/>
    <n v="409"/>
    <n v="68.166666666666671"/>
    <s v="B"/>
    <n v="12"/>
  </r>
  <r>
    <s v="STU022"/>
    <s v="Precious Bello"/>
    <s v="Female"/>
    <x v="0"/>
    <x v="0"/>
    <n v="46"/>
    <n v="46"/>
    <n v="39"/>
    <n v="52"/>
    <n v="55"/>
    <n v="44"/>
    <n v="282"/>
    <n v="47"/>
    <s v="D"/>
    <n v="36"/>
  </r>
  <r>
    <s v="STU022"/>
    <s v="Precious Bello"/>
    <s v="Female"/>
    <x v="0"/>
    <x v="1"/>
    <n v="46"/>
    <n v="53"/>
    <n v="56"/>
    <n v="57"/>
    <n v="63"/>
    <n v="63"/>
    <n v="338"/>
    <n v="56.333333333333336"/>
    <s v="C"/>
    <n v="27"/>
  </r>
  <r>
    <s v="STU023"/>
    <s v="Aminu Kalu"/>
    <s v="Male"/>
    <x v="0"/>
    <x v="0"/>
    <n v="56"/>
    <n v="52"/>
    <n v="57"/>
    <n v="66"/>
    <n v="64"/>
    <n v="71"/>
    <n v="366"/>
    <n v="61"/>
    <s v="B"/>
    <n v="17"/>
  </r>
  <r>
    <s v="STU023"/>
    <s v="Aminu Kalu"/>
    <s v="Male"/>
    <x v="0"/>
    <x v="1"/>
    <n v="52"/>
    <n v="58"/>
    <n v="50"/>
    <n v="58"/>
    <n v="58"/>
    <n v="75"/>
    <n v="351"/>
    <n v="58.5"/>
    <s v="C"/>
    <n v="25"/>
  </r>
  <r>
    <s v="STU023"/>
    <s v="Aminu Kalu"/>
    <s v="Male"/>
    <x v="0"/>
    <x v="2"/>
    <n v="53"/>
    <n v="50"/>
    <n v="58"/>
    <n v="59"/>
    <n v="40"/>
    <n v="67"/>
    <n v="327"/>
    <n v="54.5"/>
    <s v="C"/>
    <n v="30"/>
  </r>
  <r>
    <s v="STU024"/>
    <s v="Comfort Okonkwo"/>
    <s v="Female"/>
    <x v="0"/>
    <x v="2"/>
    <n v="85"/>
    <n v="74"/>
    <n v="89"/>
    <n v="78"/>
    <n v="90"/>
    <n v="91"/>
    <n v="507"/>
    <n v="84.5"/>
    <s v="A"/>
    <n v="3"/>
  </r>
  <r>
    <s v="STU024"/>
    <s v="Comfort Okonkwo"/>
    <s v="Female"/>
    <x v="0"/>
    <x v="0"/>
    <n v="42"/>
    <n v="63"/>
    <n v="51"/>
    <n v="52"/>
    <n v="67"/>
    <n v="55"/>
    <n v="330"/>
    <n v="55"/>
    <s v="C"/>
    <n v="26"/>
  </r>
  <r>
    <s v="STU024"/>
    <s v="Comfort Okonkwo"/>
    <s v="Female"/>
    <x v="0"/>
    <x v="1"/>
    <n v="60"/>
    <n v="70"/>
    <n v="71"/>
    <n v="77"/>
    <n v="72"/>
    <n v="69"/>
    <n v="419"/>
    <n v="69.833333333333329"/>
    <s v="B"/>
    <n v="9"/>
  </r>
  <r>
    <s v="STU025"/>
    <s v="Adaeze Suleiman"/>
    <s v="Female"/>
    <x v="0"/>
    <x v="2"/>
    <n v="55"/>
    <n v="66"/>
    <n v="63"/>
    <n v="64"/>
    <n v="74"/>
    <n v="69"/>
    <n v="391"/>
    <n v="65.166666666666671"/>
    <s v="B"/>
    <n v="19"/>
  </r>
  <r>
    <s v="STU025"/>
    <s v="Adaeze Suleiman"/>
    <s v="Female"/>
    <x v="0"/>
    <x v="0"/>
    <n v="45"/>
    <n v="61"/>
    <m/>
    <n v="66"/>
    <n v="61"/>
    <n v="67"/>
    <n v="300"/>
    <n v="60"/>
    <s v="B"/>
    <n v="20"/>
  </r>
  <r>
    <s v="STU025"/>
    <s v="Adaeze Suleiman"/>
    <s v="Female"/>
    <x v="0"/>
    <x v="1"/>
    <n v="54"/>
    <n v="54"/>
    <n v="67"/>
    <n v="62"/>
    <n v="76"/>
    <n v="73"/>
    <n v="386"/>
    <n v="64.333333333333329"/>
    <s v="B"/>
    <n v="19"/>
  </r>
  <r>
    <s v="STU026"/>
    <s v="Grace Akinola"/>
    <s v="Female"/>
    <x v="0"/>
    <x v="2"/>
    <n v="63"/>
    <n v="75"/>
    <n v="61"/>
    <n v="55"/>
    <n v="64"/>
    <n v="73"/>
    <n v="391"/>
    <n v="65.166666666666671"/>
    <s v="B"/>
    <n v="19"/>
  </r>
  <r>
    <s v="STU026"/>
    <s v="Grace Akinola"/>
    <s v="Female"/>
    <x v="0"/>
    <x v="0"/>
    <n v="66"/>
    <n v="67"/>
    <n v="52"/>
    <n v="63"/>
    <n v="63"/>
    <n v="56"/>
    <n v="367"/>
    <n v="61.166666666666664"/>
    <s v="B"/>
    <n v="16"/>
  </r>
  <r>
    <s v="STU026"/>
    <s v="Grace Akinola"/>
    <s v="Female"/>
    <x v="0"/>
    <x v="1"/>
    <n v="62"/>
    <n v="68"/>
    <n v="66"/>
    <n v="61"/>
    <n v="73"/>
    <n v="66"/>
    <n v="396"/>
    <n v="66"/>
    <s v="B"/>
    <n v="15"/>
  </r>
  <r>
    <s v="STU027"/>
    <s v="Patience Umar"/>
    <s v="Female"/>
    <x v="0"/>
    <x v="0"/>
    <n v="46"/>
    <n v="35"/>
    <n v="40"/>
    <n v="48"/>
    <n v="50"/>
    <n v="56"/>
    <n v="275"/>
    <n v="45.833333333333336"/>
    <s v="D"/>
    <n v="38"/>
  </r>
  <r>
    <s v="STU027"/>
    <s v="Patience Umar"/>
    <s v="Female"/>
    <x v="0"/>
    <x v="1"/>
    <n v="31"/>
    <n v="41"/>
    <n v="49"/>
    <n v="50"/>
    <n v="51"/>
    <n v="58"/>
    <n v="280"/>
    <n v="46.666666666666664"/>
    <s v="D"/>
    <n v="38"/>
  </r>
  <r>
    <s v="STU027"/>
    <s v="Patience Umar"/>
    <s v="Female"/>
    <x v="0"/>
    <x v="2"/>
    <n v="40"/>
    <n v="49"/>
    <n v="41"/>
    <n v="38"/>
    <n v="40"/>
    <n v="51"/>
    <n v="259"/>
    <n v="43.166666666666664"/>
    <s v="E"/>
    <n v="39"/>
  </r>
  <r>
    <s v="STU028"/>
    <s v="Chioma Agu"/>
    <s v="Female"/>
    <x v="0"/>
    <x v="2"/>
    <n v="59"/>
    <n v="61"/>
    <n v="65"/>
    <n v="59"/>
    <n v="68"/>
    <n v="68"/>
    <n v="380"/>
    <n v="63.333333333333336"/>
    <s v="B"/>
    <n v="22"/>
  </r>
  <r>
    <s v="STU028"/>
    <s v="Chioma Agu"/>
    <s v="Female"/>
    <x v="0"/>
    <x v="0"/>
    <n v="47"/>
    <n v="50"/>
    <n v="55"/>
    <n v="51"/>
    <n v="59"/>
    <n v="60"/>
    <n v="322"/>
    <n v="53.666666666666664"/>
    <s v="C"/>
    <n v="28"/>
  </r>
  <r>
    <s v="STU028"/>
    <s v="Chioma Agu"/>
    <s v="Female"/>
    <x v="0"/>
    <x v="1"/>
    <n v="47"/>
    <n v="42"/>
    <n v="67"/>
    <n v="64"/>
    <n v="44"/>
    <n v="62"/>
    <n v="326"/>
    <n v="54.333333333333336"/>
    <s v="C"/>
    <n v="28"/>
  </r>
  <r>
    <s v="STU029"/>
    <s v="Ngozi Adewale"/>
    <s v="Female"/>
    <x v="0"/>
    <x v="2"/>
    <n v="56"/>
    <n v="77"/>
    <n v="78"/>
    <n v="79"/>
    <n v="81"/>
    <n v="67"/>
    <n v="438"/>
    <n v="73"/>
    <s v="A"/>
    <n v="7"/>
  </r>
  <r>
    <s v="STU029"/>
    <s v="Ngozi Adewale"/>
    <s v="Female"/>
    <x v="0"/>
    <x v="0"/>
    <n v="60"/>
    <n v="66"/>
    <n v="66"/>
    <n v="77"/>
    <n v="67"/>
    <n v="70"/>
    <n v="406"/>
    <n v="67.666666666666671"/>
    <s v="B"/>
    <n v="11"/>
  </r>
  <r>
    <s v="STU029"/>
    <s v="Ngozi Adewale"/>
    <s v="Female"/>
    <x v="0"/>
    <x v="1"/>
    <n v="67"/>
    <n v="71"/>
    <n v="73"/>
    <n v="80"/>
    <n v="85"/>
    <n v="78"/>
    <n v="454"/>
    <n v="75.666666666666671"/>
    <s v="A"/>
    <n v="5"/>
  </r>
  <r>
    <s v="STU030"/>
    <s v="Ebere Ogundipe"/>
    <s v="Female"/>
    <x v="0"/>
    <x v="2"/>
    <n v="76"/>
    <n v="69"/>
    <n v="73"/>
    <n v="63"/>
    <n v="61"/>
    <n v="68"/>
    <n v="410"/>
    <n v="68.333333333333329"/>
    <s v="B"/>
    <n v="11"/>
  </r>
  <r>
    <s v="STU030"/>
    <s v="Ebere Ogundipe"/>
    <s v="Female"/>
    <x v="0"/>
    <x v="0"/>
    <n v="58"/>
    <n v="58"/>
    <n v="48"/>
    <n v="57"/>
    <n v="58"/>
    <n v="71"/>
    <n v="350"/>
    <n v="58.333333333333336"/>
    <s v="C"/>
    <n v="22"/>
  </r>
  <r>
    <s v="STU030"/>
    <s v="Ebere Ogundipe"/>
    <s v="Female"/>
    <x v="0"/>
    <x v="1"/>
    <n v="63"/>
    <n v="76"/>
    <n v="68"/>
    <n v="59"/>
    <n v="60"/>
    <n v="79"/>
    <n v="405"/>
    <n v="67.5"/>
    <s v="B"/>
    <n v="12"/>
  </r>
  <r>
    <s v="STU031"/>
    <s v="Stephen Mohammed"/>
    <s v="Male"/>
    <x v="0"/>
    <x v="2"/>
    <n v="63"/>
    <n v="56"/>
    <n v="68"/>
    <n v="65"/>
    <n v="83"/>
    <n v="63"/>
    <n v="398"/>
    <n v="66.333333333333329"/>
    <s v="B"/>
    <n v="16"/>
  </r>
  <r>
    <s v="STU031"/>
    <s v="Stephen Mohammed"/>
    <s v="Male"/>
    <x v="0"/>
    <x v="0"/>
    <n v="39"/>
    <n v="44"/>
    <n v="44"/>
    <n v="48"/>
    <n v="57"/>
    <n v="64"/>
    <n v="296"/>
    <n v="49.333333333333336"/>
    <s v="D"/>
    <n v="32"/>
  </r>
  <r>
    <s v="STU031"/>
    <s v="Stephen Mohammed"/>
    <s v="Male"/>
    <x v="0"/>
    <x v="1"/>
    <n v="49"/>
    <n v="69"/>
    <n v="48"/>
    <n v="54"/>
    <n v="61"/>
    <n v="58"/>
    <n v="339"/>
    <n v="56.5"/>
    <s v="C"/>
    <n v="26"/>
  </r>
  <r>
    <s v="STU032"/>
    <s v="Dare Abubakar"/>
    <s v="Male"/>
    <x v="0"/>
    <x v="2"/>
    <n v="52"/>
    <n v="63"/>
    <n v="49"/>
    <n v="64"/>
    <n v="75"/>
    <n v="83"/>
    <n v="386"/>
    <n v="64.333333333333329"/>
    <s v="B"/>
    <n v="21"/>
  </r>
  <r>
    <s v="STU032"/>
    <s v="Dare Abubakar"/>
    <s v="Male"/>
    <x v="0"/>
    <x v="0"/>
    <n v="56"/>
    <n v="64"/>
    <n v="46"/>
    <n v="70"/>
    <n v="71"/>
    <n v="70"/>
    <n v="377"/>
    <n v="62.833333333333336"/>
    <s v="B"/>
    <n v="14"/>
  </r>
  <r>
    <s v="STU032"/>
    <s v="Dare Abubakar"/>
    <s v="Male"/>
    <x v="0"/>
    <x v="1"/>
    <n v="47"/>
    <n v="53"/>
    <n v="66"/>
    <n v="75"/>
    <n v="79"/>
    <n v="64"/>
    <n v="384"/>
    <n v="64"/>
    <s v="B"/>
    <n v="20"/>
  </r>
  <r>
    <s v="STU033"/>
    <s v="Musa Oladipo"/>
    <s v="Male"/>
    <x v="0"/>
    <x v="2"/>
    <n v="59"/>
    <n v="60"/>
    <n v="50"/>
    <n v="73"/>
    <n v="81"/>
    <n v="89"/>
    <n v="412"/>
    <n v="68.666666666666671"/>
    <s v="B"/>
    <n v="9"/>
  </r>
  <r>
    <s v="STU033"/>
    <s v="Musa Oladipo"/>
    <s v="Male"/>
    <x v="0"/>
    <x v="0"/>
    <n v="59"/>
    <n v="74"/>
    <n v="64"/>
    <n v="67"/>
    <n v="66"/>
    <n v="70"/>
    <n v="400"/>
    <n v="66.666666666666671"/>
    <s v="B"/>
    <n v="12"/>
  </r>
  <r>
    <s v="STU033"/>
    <s v="Musa Oladipo"/>
    <s v="Male"/>
    <x v="0"/>
    <x v="1"/>
    <n v="57"/>
    <n v="64"/>
    <n v="58"/>
    <n v="69"/>
    <n v="69"/>
    <n v="60"/>
    <n v="377"/>
    <n v="62.833333333333336"/>
    <s v="B"/>
    <n v="21"/>
  </r>
  <r>
    <s v="STU034"/>
    <s v="Segun Adeyemi"/>
    <s v="Male"/>
    <x v="0"/>
    <x v="2"/>
    <n v="78"/>
    <n v="85"/>
    <n v="85"/>
    <n v="76"/>
    <n v="98"/>
    <n v="93"/>
    <n v="515"/>
    <n v="85.833333333333329"/>
    <s v="A"/>
    <n v="2"/>
  </r>
  <r>
    <s v="STU034"/>
    <s v="Segun Adeyemi"/>
    <s v="Male"/>
    <x v="0"/>
    <x v="0"/>
    <n v="76"/>
    <n v="64"/>
    <n v="77"/>
    <n v="81"/>
    <n v="61"/>
    <n v="83"/>
    <n v="442"/>
    <n v="73.666666666666671"/>
    <s v="A"/>
    <n v="6"/>
  </r>
  <r>
    <s v="STU034"/>
    <s v="Segun Adeyemi"/>
    <s v="Male"/>
    <x v="0"/>
    <x v="1"/>
    <n v="76"/>
    <n v="79"/>
    <n v="78"/>
    <n v="81"/>
    <n v="93"/>
    <n v="81"/>
    <n v="488"/>
    <n v="81.333333333333329"/>
    <s v="A"/>
    <n v="4"/>
  </r>
  <r>
    <s v="STU035"/>
    <s v="Sani Nwankwo"/>
    <s v="Male"/>
    <x v="0"/>
    <x v="2"/>
    <n v="74"/>
    <n v="76"/>
    <n v="63"/>
    <n v="78"/>
    <n v="76"/>
    <n v="91"/>
    <n v="458"/>
    <n v="76.333333333333329"/>
    <s v="A"/>
    <n v="5"/>
  </r>
  <r>
    <s v="STU035"/>
    <s v="Sani Nwankwo"/>
    <s v="Male"/>
    <x v="0"/>
    <x v="0"/>
    <n v="81"/>
    <n v="85"/>
    <n v="80"/>
    <n v="84"/>
    <n v="88"/>
    <n v="90"/>
    <n v="508"/>
    <n v="84.666666666666671"/>
    <s v="A"/>
    <n v="1"/>
  </r>
  <r>
    <s v="STU035"/>
    <s v="Sani Nwankwo"/>
    <s v="Male"/>
    <x v="0"/>
    <x v="1"/>
    <n v="82"/>
    <n v="83"/>
    <n v="77"/>
    <n v="97"/>
    <n v="75"/>
    <n v="77"/>
    <n v="491"/>
    <n v="81.833333333333329"/>
    <s v="A"/>
    <n v="2"/>
  </r>
  <r>
    <s v="STU036"/>
    <s v="Kemi Danjuma"/>
    <s v="Female"/>
    <x v="0"/>
    <x v="0"/>
    <n v="29"/>
    <n v="47"/>
    <n v="41"/>
    <n v="41"/>
    <n v="44"/>
    <n v="49"/>
    <n v="251"/>
    <n v="41.833333333333336"/>
    <s v="E"/>
    <n v="39"/>
  </r>
  <r>
    <s v="STU036"/>
    <s v="Kemi Danjuma"/>
    <s v="Female"/>
    <x v="0"/>
    <x v="1"/>
    <n v="18"/>
    <n v="42"/>
    <n v="35"/>
    <n v="55"/>
    <n v="39"/>
    <n v="54"/>
    <n v="243"/>
    <n v="40.5"/>
    <s v="E"/>
    <n v="40"/>
  </r>
  <r>
    <s v="STU036"/>
    <s v="Kemi Danjuma"/>
    <s v="Female"/>
    <x v="0"/>
    <x v="2"/>
    <n v="17"/>
    <n v="46"/>
    <n v="40"/>
    <n v="41"/>
    <n v="43"/>
    <n v="44"/>
    <n v="231"/>
    <n v="38.5"/>
    <s v="F"/>
    <n v="40"/>
  </r>
  <r>
    <s v="STU037"/>
    <s v="Grace Oladipo"/>
    <s v="Female"/>
    <x v="0"/>
    <x v="2"/>
    <n v="57"/>
    <n v="68"/>
    <n v="71"/>
    <n v="70"/>
    <n v="64"/>
    <n v="79"/>
    <n v="409"/>
    <n v="68.166666666666671"/>
    <s v="B"/>
    <n v="12"/>
  </r>
  <r>
    <s v="STU037"/>
    <s v="Grace Oladipo"/>
    <s v="Female"/>
    <x v="0"/>
    <x v="0"/>
    <n v="56"/>
    <n v="58"/>
    <n v="44"/>
    <n v="61"/>
    <n v="79"/>
    <n v="65"/>
    <n v="363"/>
    <n v="60.5"/>
    <s v="B"/>
    <n v="18"/>
  </r>
  <r>
    <s v="STU037"/>
    <s v="Grace Oladipo"/>
    <s v="Female"/>
    <x v="0"/>
    <x v="1"/>
    <n v="60"/>
    <n v="61"/>
    <n v="63"/>
    <n v="68"/>
    <n v="66"/>
    <n v="76"/>
    <n v="394"/>
    <n v="65.666666666666671"/>
    <s v="B"/>
    <n v="16"/>
  </r>
  <r>
    <s v="STU038"/>
    <s v="Damilola Aliyu"/>
    <s v="Female"/>
    <x v="0"/>
    <x v="2"/>
    <n v="53"/>
    <n v="51"/>
    <n v="43"/>
    <n v="49"/>
    <n v="50"/>
    <n v="57"/>
    <n v="303"/>
    <n v="50.5"/>
    <s v="C"/>
    <n v="36"/>
  </r>
  <r>
    <s v="STU038"/>
    <s v="Damilola Aliyu"/>
    <s v="Female"/>
    <x v="0"/>
    <x v="0"/>
    <n v="48"/>
    <n v="58"/>
    <n v="53"/>
    <n v="63"/>
    <n v="62"/>
    <n v="63"/>
    <n v="347"/>
    <n v="57.833333333333336"/>
    <s v="C"/>
    <n v="23"/>
  </r>
  <r>
    <s v="STU038"/>
    <s v="Damilola Aliyu"/>
    <s v="Female"/>
    <x v="0"/>
    <x v="1"/>
    <n v="54"/>
    <n v="68"/>
    <n v="51"/>
    <n v="62"/>
    <n v="57"/>
    <n v="62"/>
    <n v="354"/>
    <n v="59"/>
    <s v="C"/>
    <n v="24"/>
  </r>
  <r>
    <s v="STU039"/>
    <s v="Babatunde Garba"/>
    <s v="Male"/>
    <x v="0"/>
    <x v="2"/>
    <n v="50"/>
    <n v="56"/>
    <n v="52"/>
    <n v="68"/>
    <n v="58"/>
    <n v="67"/>
    <n v="351"/>
    <n v="58.5"/>
    <s v="C"/>
    <n v="28"/>
  </r>
  <r>
    <s v="STU039"/>
    <s v="Babatunde Garba"/>
    <s v="Male"/>
    <x v="0"/>
    <x v="0"/>
    <n v="53"/>
    <n v="44"/>
    <n v="44"/>
    <n v="50"/>
    <n v="45"/>
    <n v="69"/>
    <n v="305"/>
    <n v="50.833333333333336"/>
    <s v="C"/>
    <n v="31"/>
  </r>
  <r>
    <s v="STU039"/>
    <s v="Babatunde Garba"/>
    <s v="Male"/>
    <x v="0"/>
    <x v="1"/>
    <n v="52"/>
    <n v="72"/>
    <n v="46"/>
    <n v="70"/>
    <n v="57"/>
    <n v="61"/>
    <n v="358"/>
    <n v="59.666666666666664"/>
    <s v="C"/>
    <n v="22"/>
  </r>
  <r>
    <s v="STU040"/>
    <s v="Omolara Kalu"/>
    <s v="Female"/>
    <x v="0"/>
    <x v="2"/>
    <n v="73"/>
    <n v="68"/>
    <n v="63"/>
    <n v="62"/>
    <n v="79"/>
    <n v="67"/>
    <n v="412"/>
    <n v="68.666666666666671"/>
    <s v="B"/>
    <n v="9"/>
  </r>
  <r>
    <s v="STU040"/>
    <s v="Omolara Kalu"/>
    <s v="Female"/>
    <x v="0"/>
    <x v="0"/>
    <n v="54"/>
    <n v="64"/>
    <n v="58"/>
    <n v="65"/>
    <n v="67"/>
    <n v="66"/>
    <n v="374"/>
    <n v="62.333333333333336"/>
    <s v="B"/>
    <n v="15"/>
  </r>
  <r>
    <s v="STU040"/>
    <s v="Omolara Kalu"/>
    <s v="Female"/>
    <x v="0"/>
    <x v="1"/>
    <n v="61"/>
    <n v="58"/>
    <n v="57"/>
    <n v="81"/>
    <n v="68"/>
    <n v="65"/>
    <n v="390"/>
    <n v="65"/>
    <s v="B"/>
    <n v="18"/>
  </r>
  <r>
    <s v="STU041"/>
    <s v="Seun Okafor"/>
    <s v="Male"/>
    <x v="1"/>
    <x v="0"/>
    <n v="45"/>
    <n v="59"/>
    <n v="54"/>
    <n v="57"/>
    <n v="57"/>
    <n v="68"/>
    <n v="340"/>
    <n v="56.666666666666664"/>
    <s v="C"/>
    <n v="24"/>
  </r>
  <r>
    <s v="STU041"/>
    <s v="Seun Okafor"/>
    <s v="Male"/>
    <x v="1"/>
    <x v="1"/>
    <n v="65"/>
    <n v="52"/>
    <n v="58"/>
    <n v="72"/>
    <n v="67"/>
    <n v="57"/>
    <n v="371"/>
    <n v="61.833333333333336"/>
    <s v="B"/>
    <n v="19"/>
  </r>
  <r>
    <s v="STU041"/>
    <s v="Seun Okafor"/>
    <s v="Male"/>
    <x v="1"/>
    <x v="2"/>
    <n v="48"/>
    <n v="53"/>
    <n v="49"/>
    <n v="56"/>
    <n v="63"/>
    <n v="59"/>
    <n v="328"/>
    <n v="54.666666666666664"/>
    <s v="C"/>
    <n v="33"/>
  </r>
  <r>
    <s v="STU042"/>
    <s v="Aminu Adeyemi"/>
    <s v="Male"/>
    <x v="1"/>
    <x v="0"/>
    <n v="59"/>
    <n v="60"/>
    <n v="54"/>
    <n v="68"/>
    <n v="65"/>
    <n v="67"/>
    <n v="373"/>
    <n v="62.166666666666664"/>
    <s v="B"/>
    <n v="16"/>
  </r>
  <r>
    <s v="STU042"/>
    <s v="Aminu Adeyemi"/>
    <s v="Male"/>
    <x v="1"/>
    <x v="1"/>
    <n v="64"/>
    <n v="67"/>
    <n v="60"/>
    <n v="72"/>
    <n v="69"/>
    <n v="89"/>
    <n v="421"/>
    <n v="70.166666666666671"/>
    <s v="A"/>
    <n v="8"/>
  </r>
  <r>
    <s v="STU042"/>
    <s v="Aminu Adeyemi"/>
    <s v="Male"/>
    <x v="1"/>
    <x v="2"/>
    <n v="68"/>
    <n v="74"/>
    <n v="73"/>
    <n v="70"/>
    <n v="79"/>
    <n v="72"/>
    <n v="436"/>
    <n v="72.666666666666671"/>
    <s v="A"/>
    <n v="8"/>
  </r>
  <r>
    <s v="STU043"/>
    <s v="Omolara Obi"/>
    <s v="Female"/>
    <x v="1"/>
    <x v="0"/>
    <n v="48"/>
    <n v="55"/>
    <n v="61"/>
    <n v="51"/>
    <n v="65"/>
    <n v="60"/>
    <n v="340"/>
    <n v="56.666666666666664"/>
    <s v="C"/>
    <n v="24"/>
  </r>
  <r>
    <s v="STU043"/>
    <s v="Omolara Obi"/>
    <s v="Female"/>
    <x v="1"/>
    <x v="1"/>
    <n v="61"/>
    <n v="57"/>
    <n v="73"/>
    <n v="70"/>
    <n v="57"/>
    <n v="80"/>
    <n v="398"/>
    <n v="66.333333333333329"/>
    <s v="B"/>
    <n v="17"/>
  </r>
  <r>
    <s v="STU043"/>
    <s v="Omolara Obi"/>
    <s v="Female"/>
    <x v="1"/>
    <x v="2"/>
    <n v="57"/>
    <n v="59"/>
    <n v="55"/>
    <n v="71"/>
    <n v="79"/>
    <n v="66"/>
    <n v="387"/>
    <n v="64.5"/>
    <s v="B"/>
    <n v="19"/>
  </r>
  <r>
    <s v="STU044"/>
    <s v="Omolara Adebayo"/>
    <s v="Female"/>
    <x v="1"/>
    <x v="0"/>
    <n v="36"/>
    <n v="41"/>
    <n v="57"/>
    <n v="64"/>
    <n v="51"/>
    <n v="59"/>
    <n v="308"/>
    <n v="51.333333333333336"/>
    <s v="C"/>
    <n v="34"/>
  </r>
  <r>
    <s v="STU044"/>
    <s v="Omolara Adebayo"/>
    <s v="Female"/>
    <x v="1"/>
    <x v="1"/>
    <n v="46"/>
    <n v="52"/>
    <n v="57"/>
    <n v="58"/>
    <n v="59"/>
    <n v="56"/>
    <n v="328"/>
    <n v="54.666666666666664"/>
    <s v="C"/>
    <n v="29"/>
  </r>
  <r>
    <s v="STU044"/>
    <s v="Omolara Adebayo"/>
    <s v="Female"/>
    <x v="1"/>
    <x v="2"/>
    <n v="55"/>
    <n v="54"/>
    <n v="54"/>
    <n v="60"/>
    <n v="51"/>
    <n v="60"/>
    <n v="334"/>
    <n v="55.666666666666664"/>
    <s v="C"/>
    <n v="29"/>
  </r>
  <r>
    <s v="STU045"/>
    <s v="Ebere Ogunleye"/>
    <s v="Female"/>
    <x v="1"/>
    <x v="0"/>
    <n v="50"/>
    <n v="59"/>
    <n v="49"/>
    <n v="53"/>
    <n v="74"/>
    <n v="73"/>
    <n v="358"/>
    <n v="59.666666666666664"/>
    <s v="C"/>
    <n v="20"/>
  </r>
  <r>
    <s v="STU045"/>
    <s v="Ebere Ogunleye"/>
    <s v="Female"/>
    <x v="1"/>
    <x v="1"/>
    <n v="65"/>
    <n v="77"/>
    <n v="65"/>
    <n v="67"/>
    <n v="72"/>
    <n v="57"/>
    <n v="403"/>
    <n v="67.166666666666671"/>
    <s v="B"/>
    <n v="15"/>
  </r>
  <r>
    <s v="STU045"/>
    <s v="Ebere Ogunleye"/>
    <s v="Female"/>
    <x v="1"/>
    <x v="2"/>
    <n v="57"/>
    <n v="76"/>
    <n v="69"/>
    <n v="64"/>
    <n v="79"/>
    <n v="83"/>
    <n v="428"/>
    <n v="71.333333333333329"/>
    <s v="A"/>
    <n v="9"/>
  </r>
  <r>
    <s v="STU046"/>
    <s v="Damilola Yakubu"/>
    <s v="Female"/>
    <x v="1"/>
    <x v="2"/>
    <n v="68"/>
    <m/>
    <n v="79"/>
    <n v="76"/>
    <n v="74"/>
    <n v="91"/>
    <n v="388"/>
    <n v="77.599999999999994"/>
    <s v="A"/>
    <n v="5"/>
  </r>
  <r>
    <s v="STU046"/>
    <s v="Damilola Yakubu"/>
    <s v="Female"/>
    <x v="1"/>
    <x v="0"/>
    <n v="70"/>
    <n v="71"/>
    <n v="64"/>
    <n v="75"/>
    <n v="78"/>
    <n v="75"/>
    <n v="433"/>
    <n v="72.166666666666671"/>
    <s v="A"/>
    <n v="2"/>
  </r>
  <r>
    <s v="STU046"/>
    <s v="Damilola Yakubu"/>
    <s v="Female"/>
    <x v="1"/>
    <x v="1"/>
    <n v="72"/>
    <n v="76"/>
    <n v="74"/>
    <n v="63"/>
    <n v="86"/>
    <n v="92"/>
    <n v="463"/>
    <n v="77.166666666666671"/>
    <s v="A"/>
    <n v="4"/>
  </r>
  <r>
    <s v="STU047"/>
    <s v="Tunde Abubakar"/>
    <s v="Male"/>
    <x v="1"/>
    <x v="0"/>
    <n v="37"/>
    <n v="58"/>
    <n v="42"/>
    <n v="66"/>
    <n v="60"/>
    <n v="57"/>
    <n v="320"/>
    <n v="53.333333333333336"/>
    <s v="C"/>
    <n v="30"/>
  </r>
  <r>
    <s v="STU047"/>
    <s v="Tunde Abubakar"/>
    <s v="Male"/>
    <x v="1"/>
    <x v="1"/>
    <n v="47"/>
    <n v="56"/>
    <n v="56"/>
    <n v="61"/>
    <n v="60"/>
    <n v="55"/>
    <n v="335"/>
    <n v="55.833333333333336"/>
    <s v="C"/>
    <n v="26"/>
  </r>
  <r>
    <s v="STU047"/>
    <s v="Tunde Abubakar"/>
    <s v="Male"/>
    <x v="1"/>
    <x v="2"/>
    <n v="51"/>
    <n v="43"/>
    <n v="57"/>
    <n v="61"/>
    <n v="66"/>
    <n v="54"/>
    <n v="332"/>
    <n v="55.333333333333336"/>
    <s v="C"/>
    <n v="30"/>
  </r>
  <r>
    <s v="STU048"/>
    <s v="Musa Salami"/>
    <s v="Male"/>
    <x v="1"/>
    <x v="0"/>
    <n v="57"/>
    <n v="68"/>
    <n v="62"/>
    <n v="62"/>
    <n v="68"/>
    <n v="69"/>
    <n v="386"/>
    <n v="64.333333333333329"/>
    <s v="B"/>
    <n v="15"/>
  </r>
  <r>
    <s v="STU048"/>
    <s v="Musa Salami"/>
    <s v="Male"/>
    <x v="1"/>
    <x v="1"/>
    <n v="65"/>
    <n v="60"/>
    <n v="65"/>
    <n v="69"/>
    <n v="74"/>
    <n v="70"/>
    <n v="403"/>
    <n v="67.166666666666671"/>
    <s v="B"/>
    <n v="15"/>
  </r>
  <r>
    <s v="STU048"/>
    <s v="Musa Salami"/>
    <s v="Male"/>
    <x v="1"/>
    <x v="2"/>
    <n v="62"/>
    <n v="66"/>
    <n v="65"/>
    <n v="70"/>
    <n v="68"/>
    <n v="92"/>
    <n v="423"/>
    <n v="70.5"/>
    <s v="A"/>
    <n v="10"/>
  </r>
  <r>
    <s v="STU049"/>
    <s v="Samuel Abubakar"/>
    <s v="Male"/>
    <x v="1"/>
    <x v="0"/>
    <n v="41"/>
    <n v="45"/>
    <n v="45"/>
    <n v="51"/>
    <n v="57"/>
    <n v="69"/>
    <n v="308"/>
    <n v="51.333333333333336"/>
    <s v="C"/>
    <n v="34"/>
  </r>
  <r>
    <s v="STU049"/>
    <s v="Samuel Abubakar"/>
    <s v="Male"/>
    <x v="1"/>
    <x v="1"/>
    <n v="61"/>
    <n v="57"/>
    <n v="36"/>
    <n v="61"/>
    <n v="50"/>
    <n v="58"/>
    <n v="323"/>
    <n v="53.833333333333336"/>
    <s v="C"/>
    <n v="31"/>
  </r>
  <r>
    <s v="STU049"/>
    <s v="Samuel Abubakar"/>
    <s v="Male"/>
    <x v="1"/>
    <x v="2"/>
    <n v="43"/>
    <n v="60"/>
    <n v="51"/>
    <n v="66"/>
    <n v="65"/>
    <n v="61"/>
    <n v="346"/>
    <n v="57.666666666666664"/>
    <s v="C"/>
    <n v="26"/>
  </r>
  <r>
    <s v="STU050"/>
    <s v="Omolara Anyanwu"/>
    <s v="Female"/>
    <x v="1"/>
    <x v="0"/>
    <n v="44"/>
    <n v="56"/>
    <n v="45"/>
    <n v="59"/>
    <n v="53"/>
    <n v="57"/>
    <n v="314"/>
    <n v="52.333333333333336"/>
    <s v="C"/>
    <n v="33"/>
  </r>
  <r>
    <s v="STU050"/>
    <s v="Omolara Anyanwu"/>
    <s v="Female"/>
    <x v="1"/>
    <x v="1"/>
    <n v="54"/>
    <n v="63"/>
    <n v="56"/>
    <n v="57"/>
    <n v="63"/>
    <n v="49"/>
    <n v="342"/>
    <n v="57"/>
    <s v="C"/>
    <n v="24"/>
  </r>
  <r>
    <s v="STU050"/>
    <s v="Omolara Anyanwu"/>
    <s v="Female"/>
    <x v="1"/>
    <x v="2"/>
    <n v="64"/>
    <n v="49"/>
    <n v="63"/>
    <n v="57"/>
    <n v="66"/>
    <n v="64"/>
    <n v="363"/>
    <n v="60.5"/>
    <s v="B"/>
    <n v="22"/>
  </r>
  <r>
    <s v="STU051"/>
    <s v="Uchenna Garba"/>
    <s v="Male"/>
    <x v="1"/>
    <x v="0"/>
    <n v="48"/>
    <n v="46"/>
    <n v="35"/>
    <n v="57"/>
    <n v="51"/>
    <n v="53"/>
    <n v="290"/>
    <n v="48.333333333333336"/>
    <s v="D"/>
    <n v="37"/>
  </r>
  <r>
    <s v="STU051"/>
    <s v="Uchenna Garba"/>
    <s v="Male"/>
    <x v="1"/>
    <x v="1"/>
    <n v="47"/>
    <n v="72"/>
    <n v="52"/>
    <n v="63"/>
    <n v="54"/>
    <n v="75"/>
    <n v="363"/>
    <n v="60.5"/>
    <s v="B"/>
    <n v="21"/>
  </r>
  <r>
    <s v="STU051"/>
    <s v="Uchenna Garba"/>
    <s v="Male"/>
    <x v="1"/>
    <x v="2"/>
    <n v="54"/>
    <n v="46"/>
    <n v="81"/>
    <n v="60"/>
    <n v="77"/>
    <n v="75"/>
    <n v="393"/>
    <n v="65.5"/>
    <s v="B"/>
    <n v="17"/>
  </r>
  <r>
    <s v="STU052"/>
    <s v="Folake Amadi"/>
    <s v="Female"/>
    <x v="1"/>
    <x v="0"/>
    <n v="60"/>
    <n v="60"/>
    <n v="61"/>
    <n v="73"/>
    <n v="64"/>
    <n v="70"/>
    <n v="388"/>
    <n v="64.666666666666671"/>
    <s v="B"/>
    <n v="13"/>
  </r>
  <r>
    <s v="STU052"/>
    <s v="Folake Amadi"/>
    <s v="Female"/>
    <x v="1"/>
    <x v="1"/>
    <n v="66"/>
    <n v="67"/>
    <n v="61"/>
    <n v="79"/>
    <n v="72"/>
    <n v="71"/>
    <n v="416"/>
    <n v="69.333333333333329"/>
    <s v="B"/>
    <n v="9"/>
  </r>
  <r>
    <s v="STU052"/>
    <s v="Folake Amadi"/>
    <s v="Female"/>
    <x v="1"/>
    <x v="2"/>
    <n v="59"/>
    <n v="63"/>
    <n v="74"/>
    <n v="80"/>
    <n v="59"/>
    <n v="72"/>
    <n v="407"/>
    <n v="67.833333333333329"/>
    <s v="B"/>
    <n v="14"/>
  </r>
  <r>
    <s v="STU053"/>
    <s v="Garba Adebayo"/>
    <s v="Male"/>
    <x v="1"/>
    <x v="0"/>
    <n v="45"/>
    <n v="61"/>
    <n v="57"/>
    <n v="53"/>
    <n v="57"/>
    <n v="46"/>
    <n v="319"/>
    <n v="53.166666666666664"/>
    <s v="C"/>
    <n v="31"/>
  </r>
  <r>
    <s v="STU053"/>
    <s v="Garba Adebayo"/>
    <s v="Male"/>
    <x v="1"/>
    <x v="1"/>
    <n v="46"/>
    <n v="38"/>
    <n v="41"/>
    <n v="52"/>
    <n v="66"/>
    <n v="58"/>
    <n v="301"/>
    <n v="50.166666666666664"/>
    <s v="C"/>
    <n v="35"/>
  </r>
  <r>
    <s v="STU053"/>
    <s v="Garba Adebayo"/>
    <s v="Male"/>
    <x v="1"/>
    <x v="2"/>
    <n v="45"/>
    <n v="48"/>
    <n v="38"/>
    <n v="56"/>
    <n v="51"/>
    <n v="57"/>
    <n v="295"/>
    <n v="49.166666666666664"/>
    <s v="D"/>
    <n v="37"/>
  </r>
  <r>
    <s v="STU054"/>
    <s v="Chioma Adewale"/>
    <s v="Female"/>
    <x v="1"/>
    <x v="0"/>
    <n v="54"/>
    <n v="67"/>
    <n v="53"/>
    <n v="72"/>
    <n v="79"/>
    <n v="78"/>
    <n v="403"/>
    <n v="67.166666666666671"/>
    <s v="B"/>
    <n v="9"/>
  </r>
  <r>
    <s v="STU054"/>
    <s v="Chioma Adewale"/>
    <s v="Female"/>
    <x v="1"/>
    <x v="1"/>
    <n v="73"/>
    <n v="67"/>
    <n v="66"/>
    <n v="71"/>
    <n v="62"/>
    <n v="86"/>
    <n v="425"/>
    <n v="70.833333333333329"/>
    <s v="A"/>
    <n v="6"/>
  </r>
  <r>
    <s v="STU054"/>
    <s v="Chioma Adewale"/>
    <s v="Female"/>
    <x v="1"/>
    <x v="2"/>
    <n v="64"/>
    <n v="62"/>
    <n v="55"/>
    <n v="70"/>
    <n v="73"/>
    <n v="70"/>
    <n v="394"/>
    <n v="65.666666666666671"/>
    <s v="B"/>
    <n v="16"/>
  </r>
  <r>
    <s v="STU055"/>
    <s v="Mercy Musa"/>
    <s v="Female"/>
    <x v="1"/>
    <x v="0"/>
    <n v="49"/>
    <n v="52"/>
    <n v="52"/>
    <n v="66"/>
    <n v="68"/>
    <n v="49"/>
    <n v="336"/>
    <n v="56"/>
    <s v="C"/>
    <n v="28"/>
  </r>
  <r>
    <s v="STU055"/>
    <s v="Mercy Musa"/>
    <s v="Female"/>
    <x v="1"/>
    <x v="1"/>
    <n v="51"/>
    <n v="47"/>
    <n v="45"/>
    <n v="63"/>
    <n v="54"/>
    <n v="40"/>
    <n v="300"/>
    <n v="50"/>
    <s v="C"/>
    <n v="36"/>
  </r>
  <r>
    <s v="STU055"/>
    <s v="Mercy Musa"/>
    <s v="Female"/>
    <x v="1"/>
    <x v="2"/>
    <n v="57"/>
    <n v="67"/>
    <n v="70"/>
    <n v="58"/>
    <n v="72"/>
    <n v="46"/>
    <n v="370"/>
    <n v="61.666666666666664"/>
    <s v="B"/>
    <n v="21"/>
  </r>
  <r>
    <s v="STU056"/>
    <s v="Esther Nnadi"/>
    <s v="Female"/>
    <x v="1"/>
    <x v="0"/>
    <n v="27"/>
    <n v="44"/>
    <n v="42"/>
    <n v="53"/>
    <n v="51"/>
    <n v="46"/>
    <n v="263"/>
    <n v="43.833333333333336"/>
    <s v="E"/>
    <n v="38"/>
  </r>
  <r>
    <s v="STU056"/>
    <s v="Esther Nnadi"/>
    <s v="Female"/>
    <x v="1"/>
    <x v="1"/>
    <n v="48"/>
    <n v="48"/>
    <n v="54"/>
    <n v="41"/>
    <n v="50"/>
    <n v="47"/>
    <n v="288"/>
    <n v="48"/>
    <s v="D"/>
    <n v="37"/>
  </r>
  <r>
    <s v="STU056"/>
    <s v="Esther Nnadi"/>
    <s v="Female"/>
    <x v="1"/>
    <x v="2"/>
    <n v="46"/>
    <n v="45"/>
    <n v="43"/>
    <n v="40"/>
    <n v="53"/>
    <n v="61"/>
    <n v="288"/>
    <n v="48"/>
    <s v="D"/>
    <n v="38"/>
  </r>
  <r>
    <s v="STU057"/>
    <s v="Tobi Okonkwo"/>
    <s v="Male"/>
    <x v="1"/>
    <x v="2"/>
    <n v="68"/>
    <n v="63"/>
    <n v="61"/>
    <n v="81"/>
    <n v="65"/>
    <n v="77"/>
    <n v="415"/>
    <n v="69.166666666666671"/>
    <s v="B"/>
    <n v="12"/>
  </r>
  <r>
    <s v="STU057"/>
    <s v="Tobi Okonkwo"/>
    <s v="Male"/>
    <x v="1"/>
    <x v="0"/>
    <n v="68"/>
    <n v="46"/>
    <n v="54"/>
    <n v="84"/>
    <n v="70"/>
    <n v="72"/>
    <n v="394"/>
    <n v="65.666666666666671"/>
    <s v="B"/>
    <n v="12"/>
  </r>
  <r>
    <s v="STU057"/>
    <s v="Tobi Okonkwo"/>
    <s v="Male"/>
    <x v="1"/>
    <x v="1"/>
    <n v="68"/>
    <n v="68"/>
    <n v="60"/>
    <n v="68"/>
    <n v="83"/>
    <n v="62"/>
    <n v="409"/>
    <n v="68.166666666666671"/>
    <s v="B"/>
    <n v="11"/>
  </r>
  <r>
    <s v="STU058"/>
    <s v="Titilayo Umar"/>
    <s v="Female"/>
    <x v="1"/>
    <x v="0"/>
    <n v="53"/>
    <n v="51"/>
    <n v="58"/>
    <n v="72"/>
    <n v="64"/>
    <n v="71"/>
    <n v="369"/>
    <n v="61.5"/>
    <s v="B"/>
    <n v="17"/>
  </r>
  <r>
    <s v="STU058"/>
    <s v="Titilayo Umar"/>
    <s v="Female"/>
    <x v="1"/>
    <x v="1"/>
    <n v="54"/>
    <n v="59"/>
    <n v="54"/>
    <n v="63"/>
    <n v="48"/>
    <n v="61"/>
    <n v="339"/>
    <n v="56.5"/>
    <s v="C"/>
    <n v="25"/>
  </r>
  <r>
    <s v="STU058"/>
    <s v="Titilayo Umar"/>
    <s v="Female"/>
    <x v="1"/>
    <x v="2"/>
    <n v="37"/>
    <n v="58"/>
    <n v="57"/>
    <n v="53"/>
    <n v="66"/>
    <n v="65"/>
    <n v="336"/>
    <n v="56"/>
    <s v="C"/>
    <n v="28"/>
  </r>
  <r>
    <s v="STU059"/>
    <s v="Daniel Afolabi"/>
    <s v="Male"/>
    <x v="1"/>
    <x v="0"/>
    <n v="53"/>
    <n v="54"/>
    <n v="58"/>
    <n v="67"/>
    <n v="56"/>
    <n v="57"/>
    <n v="345"/>
    <n v="57.5"/>
    <s v="C"/>
    <n v="22"/>
  </r>
  <r>
    <s v="STU059"/>
    <s v="Daniel Afolabi"/>
    <s v="Male"/>
    <x v="1"/>
    <x v="1"/>
    <n v="55"/>
    <n v="37"/>
    <n v="33"/>
    <n v="43"/>
    <n v="58"/>
    <n v="60"/>
    <n v="286"/>
    <n v="47.666666666666664"/>
    <s v="D"/>
    <n v="38"/>
  </r>
  <r>
    <s v="STU059"/>
    <s v="Daniel Afolabi"/>
    <s v="Male"/>
    <x v="1"/>
    <x v="2"/>
    <n v="47"/>
    <n v="50"/>
    <n v="58"/>
    <n v="63"/>
    <n v="61"/>
    <n v="47"/>
    <n v="326"/>
    <n v="54.333333333333336"/>
    <s v="C"/>
    <n v="35"/>
  </r>
  <r>
    <s v="STU060"/>
    <s v="Emmanuel Onyeka"/>
    <s v="Male"/>
    <x v="1"/>
    <x v="2"/>
    <n v="69"/>
    <n v="76"/>
    <n v="74"/>
    <n v="88"/>
    <n v="93"/>
    <n v="86"/>
    <n v="486"/>
    <n v="81"/>
    <s v="A"/>
    <n v="4"/>
  </r>
  <r>
    <s v="STU060"/>
    <s v="Emmanuel Onyeka"/>
    <s v="Male"/>
    <x v="1"/>
    <x v="0"/>
    <n v="67"/>
    <n v="64"/>
    <n v="65"/>
    <n v="66"/>
    <n v="75"/>
    <n v="80"/>
    <n v="417"/>
    <n v="69.5"/>
    <s v="B"/>
    <n v="3"/>
  </r>
  <r>
    <s v="STU060"/>
    <s v="Emmanuel Onyeka"/>
    <s v="Male"/>
    <x v="1"/>
    <x v="1"/>
    <n v="68"/>
    <n v="66"/>
    <n v="61"/>
    <n v="72"/>
    <n v="72"/>
    <n v="85"/>
    <n v="424"/>
    <n v="70.666666666666671"/>
    <s v="A"/>
    <n v="7"/>
  </r>
  <r>
    <s v="STU061"/>
    <s v="Emeka Danjuma"/>
    <s v="Male"/>
    <x v="1"/>
    <x v="0"/>
    <n v="49"/>
    <n v="67"/>
    <n v="58"/>
    <n v="57"/>
    <n v="68"/>
    <n v="64"/>
    <n v="363"/>
    <n v="60.5"/>
    <s v="B"/>
    <n v="19"/>
  </r>
  <r>
    <s v="STU061"/>
    <s v="Emeka Danjuma"/>
    <s v="Male"/>
    <x v="1"/>
    <x v="1"/>
    <n v="40"/>
    <n v="60"/>
    <n v="56"/>
    <n v="46"/>
    <n v="45"/>
    <n v="63"/>
    <n v="310"/>
    <n v="51.666666666666664"/>
    <s v="C"/>
    <n v="33"/>
  </r>
  <r>
    <s v="STU061"/>
    <s v="Emeka Danjuma"/>
    <s v="Male"/>
    <x v="1"/>
    <x v="2"/>
    <n v="54"/>
    <n v="60"/>
    <n v="44"/>
    <n v="56"/>
    <n v="64"/>
    <n v="51"/>
    <n v="329"/>
    <n v="54.833333333333336"/>
    <s v="C"/>
    <n v="32"/>
  </r>
  <r>
    <s v="STU062"/>
    <s v="Emeka Mohammed"/>
    <s v="Male"/>
    <x v="1"/>
    <x v="2"/>
    <n v="73"/>
    <n v="91"/>
    <n v="78"/>
    <n v="98"/>
    <n v="82"/>
    <n v="83"/>
    <n v="505"/>
    <n v="84.166666666666671"/>
    <s v="A"/>
    <n v="2"/>
  </r>
  <r>
    <s v="STU062"/>
    <s v="Emeka Mohammed"/>
    <s v="Male"/>
    <x v="1"/>
    <x v="0"/>
    <n v="67"/>
    <n v="74"/>
    <n v="77"/>
    <n v="58"/>
    <n v="77"/>
    <n v="92"/>
    <n v="445"/>
    <n v="74.166666666666671"/>
    <s v="A"/>
    <n v="1"/>
  </r>
  <r>
    <s v="STU062"/>
    <s v="Emeka Mohammed"/>
    <s v="Male"/>
    <x v="1"/>
    <x v="1"/>
    <n v="71"/>
    <n v="79"/>
    <n v="86"/>
    <n v="79"/>
    <n v="93"/>
    <n v="91"/>
    <n v="499"/>
    <n v="83.166666666666671"/>
    <s v="A"/>
    <n v="2"/>
  </r>
  <r>
    <s v="STU063"/>
    <s v="Oluwaseun Balogun"/>
    <s v="Female"/>
    <x v="1"/>
    <x v="0"/>
    <n v="21"/>
    <n v="29"/>
    <n v="42"/>
    <n v="38"/>
    <n v="41"/>
    <n v="48"/>
    <n v="219"/>
    <n v="36.5"/>
    <s v="F"/>
    <n v="40"/>
  </r>
  <r>
    <s v="STU063"/>
    <s v="Oluwaseun Balogun"/>
    <s v="Female"/>
    <x v="1"/>
    <x v="1"/>
    <n v="30"/>
    <n v="37"/>
    <n v="33"/>
    <n v="50"/>
    <n v="56"/>
    <n v="49"/>
    <n v="255"/>
    <n v="42.5"/>
    <s v="E"/>
    <n v="40"/>
  </r>
  <r>
    <s v="STU063"/>
    <s v="Oluwaseun Balogun"/>
    <s v="Female"/>
    <x v="1"/>
    <x v="2"/>
    <n v="37"/>
    <n v="44"/>
    <n v="38"/>
    <n v="55"/>
    <n v="44"/>
    <n v="52"/>
    <n v="270"/>
    <n v="45"/>
    <s v="D"/>
    <n v="40"/>
  </r>
  <r>
    <s v="STU064"/>
    <s v="Adaeze Bakare"/>
    <s v="Female"/>
    <x v="1"/>
    <x v="2"/>
    <n v="76"/>
    <n v="73"/>
    <n v="90"/>
    <n v="79"/>
    <n v="91"/>
    <n v="86"/>
    <n v="495"/>
    <n v="82.5"/>
    <s v="A"/>
    <n v="3"/>
  </r>
  <r>
    <s v="STU064"/>
    <s v="Adaeze Bakare"/>
    <s v="Female"/>
    <x v="1"/>
    <x v="0"/>
    <n v="62"/>
    <n v="63"/>
    <n v="57"/>
    <n v="73"/>
    <n v="82"/>
    <n v="80"/>
    <n v="417"/>
    <n v="69.5"/>
    <s v="B"/>
    <n v="3"/>
  </r>
  <r>
    <s v="STU064"/>
    <s v="Adaeze Bakare"/>
    <s v="Female"/>
    <x v="1"/>
    <x v="1"/>
    <n v="72"/>
    <n v="72"/>
    <n v="71"/>
    <n v="75"/>
    <n v="85"/>
    <n v="98"/>
    <n v="473"/>
    <n v="78.833333333333329"/>
    <s v="A"/>
    <n v="3"/>
  </r>
  <r>
    <s v="STU065"/>
    <s v="Comfort Oyewole"/>
    <s v="Female"/>
    <x v="1"/>
    <x v="0"/>
    <n v="37"/>
    <n v="67"/>
    <m/>
    <m/>
    <n v="49"/>
    <n v="48"/>
    <n v="201"/>
    <n v="50.25"/>
    <s v="C"/>
    <n v="36"/>
  </r>
  <r>
    <s v="STU065"/>
    <s v="Comfort Oyewole"/>
    <s v="Female"/>
    <x v="1"/>
    <x v="1"/>
    <n v="39"/>
    <n v="43"/>
    <n v="50"/>
    <n v="58"/>
    <n v="45"/>
    <n v="46"/>
    <n v="281"/>
    <n v="46.833333333333336"/>
    <s v="D"/>
    <n v="39"/>
  </r>
  <r>
    <s v="STU065"/>
    <s v="Comfort Oyewole"/>
    <s v="Female"/>
    <x v="1"/>
    <x v="2"/>
    <n v="59"/>
    <n v="43"/>
    <n v="56"/>
    <n v="59"/>
    <n v="49"/>
    <n v="64"/>
    <n v="330"/>
    <n v="55"/>
    <s v="C"/>
    <n v="31"/>
  </r>
  <r>
    <s v="STU066"/>
    <s v="Ruth Nwankwo"/>
    <s v="Female"/>
    <x v="1"/>
    <x v="2"/>
    <n v="57"/>
    <n v="60"/>
    <n v="50"/>
    <n v="45"/>
    <n v="64"/>
    <n v="72"/>
    <n v="348"/>
    <n v="58"/>
    <s v="C"/>
    <n v="25"/>
  </r>
  <r>
    <s v="STU066"/>
    <s v="Ruth Nwankwo"/>
    <s v="Female"/>
    <x v="1"/>
    <x v="0"/>
    <n v="41"/>
    <n v="47"/>
    <n v="43"/>
    <n v="64"/>
    <n v="56"/>
    <n v="68"/>
    <n v="319"/>
    <n v="53.166666666666664"/>
    <s v="C"/>
    <n v="31"/>
  </r>
  <r>
    <s v="STU066"/>
    <s v="Ruth Nwankwo"/>
    <s v="Female"/>
    <x v="1"/>
    <x v="1"/>
    <n v="43"/>
    <n v="59"/>
    <n v="63"/>
    <n v="57"/>
    <n v="51"/>
    <n v="58"/>
    <n v="331"/>
    <n v="55.166666666666664"/>
    <s v="C"/>
    <n v="28"/>
  </r>
  <r>
    <s v="STU067"/>
    <s v="Khadija Idowu"/>
    <s v="Female"/>
    <x v="1"/>
    <x v="0"/>
    <n v="48"/>
    <n v="45"/>
    <n v="39"/>
    <n v="40"/>
    <n v="42"/>
    <n v="37"/>
    <n v="251"/>
    <n v="41.833333333333336"/>
    <s v="E"/>
    <n v="39"/>
  </r>
  <r>
    <s v="STU067"/>
    <s v="Khadija Idowu"/>
    <s v="Female"/>
    <x v="1"/>
    <x v="1"/>
    <n v="55"/>
    <n v="46"/>
    <n v="61"/>
    <n v="49"/>
    <n v="39"/>
    <n v="65"/>
    <n v="315"/>
    <n v="52.5"/>
    <s v="C"/>
    <n v="32"/>
  </r>
  <r>
    <s v="STU067"/>
    <s v="Khadija Idowu"/>
    <s v="Female"/>
    <x v="1"/>
    <x v="2"/>
    <n v="38"/>
    <n v="47"/>
    <n v="60"/>
    <n v="63"/>
    <n v="40"/>
    <n v="56"/>
    <n v="304"/>
    <n v="50.666666666666664"/>
    <s v="C"/>
    <n v="36"/>
  </r>
  <r>
    <s v="STU068"/>
    <s v="Samuel Bakare"/>
    <s v="Male"/>
    <x v="1"/>
    <x v="2"/>
    <n v="53"/>
    <n v="70"/>
    <n v="55"/>
    <n v="70"/>
    <n v="70"/>
    <n v="69"/>
    <n v="387"/>
    <n v="64.5"/>
    <s v="B"/>
    <n v="19"/>
  </r>
  <r>
    <s v="STU068"/>
    <s v="Samuel Bakare"/>
    <s v="Male"/>
    <x v="1"/>
    <x v="0"/>
    <n v="53"/>
    <n v="70"/>
    <n v="77"/>
    <n v="66"/>
    <n v="81"/>
    <n v="66"/>
    <n v="413"/>
    <n v="68.833333333333329"/>
    <s v="B"/>
    <n v="5"/>
  </r>
  <r>
    <s v="STU068"/>
    <s v="Samuel Bakare"/>
    <s v="Male"/>
    <x v="1"/>
    <x v="1"/>
    <n v="76"/>
    <n v="61"/>
    <n v="61"/>
    <n v="71"/>
    <n v="61"/>
    <n v="83"/>
    <n v="413"/>
    <n v="68.833333333333329"/>
    <s v="B"/>
    <n v="10"/>
  </r>
  <r>
    <s v="STU069"/>
    <s v="Khadija Suleiman"/>
    <s v="Female"/>
    <x v="1"/>
    <x v="2"/>
    <n v="53"/>
    <n v="56"/>
    <n v="59"/>
    <n v="50"/>
    <n v="64"/>
    <n v="62"/>
    <n v="344"/>
    <n v="57.333333333333336"/>
    <s v="C"/>
    <n v="27"/>
  </r>
  <r>
    <s v="STU069"/>
    <s v="Khadija Suleiman"/>
    <s v="Female"/>
    <x v="1"/>
    <x v="0"/>
    <n v="61"/>
    <n v="55"/>
    <n v="72"/>
    <n v="68"/>
    <n v="48"/>
    <n v="83"/>
    <n v="387"/>
    <n v="64.5"/>
    <s v="B"/>
    <n v="14"/>
  </r>
  <r>
    <s v="STU069"/>
    <s v="Khadija Suleiman"/>
    <s v="Female"/>
    <x v="1"/>
    <x v="1"/>
    <n v="58"/>
    <n v="72"/>
    <n v="58"/>
    <n v="48"/>
    <n v="62"/>
    <n v="59"/>
    <n v="357"/>
    <n v="59.5"/>
    <s v="C"/>
    <n v="22"/>
  </r>
  <r>
    <s v="STU070"/>
    <s v="Adesua Okafor"/>
    <s v="Female"/>
    <x v="1"/>
    <x v="2"/>
    <n v="64"/>
    <n v="77"/>
    <n v="64"/>
    <n v="74"/>
    <n v="70"/>
    <n v="61"/>
    <n v="410"/>
    <n v="68.333333333333329"/>
    <s v="B"/>
    <n v="13"/>
  </r>
  <r>
    <s v="STU070"/>
    <s v="Adesua Okafor"/>
    <s v="Female"/>
    <x v="1"/>
    <x v="0"/>
    <n v="65"/>
    <n v="55"/>
    <n v="62"/>
    <n v="81"/>
    <n v="62"/>
    <n v="78"/>
    <n v="403"/>
    <n v="67.166666666666671"/>
    <s v="B"/>
    <n v="9"/>
  </r>
  <r>
    <s v="STU070"/>
    <s v="Adesua Okafor"/>
    <s v="Female"/>
    <x v="1"/>
    <x v="1"/>
    <n v="72"/>
    <n v="69"/>
    <n v="74"/>
    <n v="79"/>
    <n v="84"/>
    <n v="72"/>
    <n v="450"/>
    <n v="75"/>
    <s v="A"/>
    <n v="5"/>
  </r>
  <r>
    <s v="STU071"/>
    <s v="Tayo Oyewole"/>
    <s v="Male"/>
    <x v="1"/>
    <x v="2"/>
    <n v="61"/>
    <n v="60"/>
    <n v="52"/>
    <n v="54"/>
    <n v="56"/>
    <n v="73"/>
    <n v="356"/>
    <n v="59.333333333333336"/>
    <s v="C"/>
    <n v="23"/>
  </r>
  <r>
    <s v="STU071"/>
    <s v="Tayo Oyewole"/>
    <s v="Male"/>
    <x v="1"/>
    <x v="0"/>
    <n v="51"/>
    <n v="67"/>
    <n v="50"/>
    <n v="58"/>
    <n v="56"/>
    <n v="56"/>
    <n v="338"/>
    <n v="56.333333333333336"/>
    <s v="C"/>
    <n v="26"/>
  </r>
  <r>
    <s v="STU071"/>
    <s v="Tayo Oyewole"/>
    <s v="Male"/>
    <x v="1"/>
    <x v="1"/>
    <n v="51"/>
    <n v="64"/>
    <n v="70"/>
    <n v="65"/>
    <n v="54"/>
    <n v="52"/>
    <n v="356"/>
    <n v="59.333333333333336"/>
    <s v="C"/>
    <n v="23"/>
  </r>
  <r>
    <s v="STU072"/>
    <s v="Peter Chukwu"/>
    <s v="Male"/>
    <x v="1"/>
    <x v="2"/>
    <n v="65"/>
    <n v="74"/>
    <n v="75"/>
    <n v="84"/>
    <n v="82"/>
    <n v="84"/>
    <n v="464"/>
    <n v="77.333333333333329"/>
    <s v="A"/>
    <n v="6"/>
  </r>
  <r>
    <s v="STU072"/>
    <s v="Peter Chukwu"/>
    <s v="Male"/>
    <x v="1"/>
    <x v="0"/>
    <n v="61"/>
    <n v="58"/>
    <n v="72"/>
    <n v="73"/>
    <n v="69"/>
    <n v="78"/>
    <n v="411"/>
    <n v="68.5"/>
    <s v="B"/>
    <n v="6"/>
  </r>
  <r>
    <s v="STU072"/>
    <s v="Peter Chukwu"/>
    <s v="Male"/>
    <x v="1"/>
    <x v="1"/>
    <n v="60"/>
    <n v="79"/>
    <n v="60"/>
    <n v="69"/>
    <n v="66"/>
    <n v="75"/>
    <n v="409"/>
    <n v="68.166666666666671"/>
    <s v="B"/>
    <n v="11"/>
  </r>
  <r>
    <s v="STU073"/>
    <s v="Obiageli Onyeka"/>
    <s v="Female"/>
    <x v="1"/>
    <x v="2"/>
    <n v="74"/>
    <n v="70"/>
    <n v="73"/>
    <n v="74"/>
    <n v="78"/>
    <n v="81"/>
    <n v="450"/>
    <n v="75"/>
    <s v="A"/>
    <n v="7"/>
  </r>
  <r>
    <s v="STU073"/>
    <s v="Obiageli Onyeka"/>
    <s v="Female"/>
    <x v="1"/>
    <x v="0"/>
    <n v="69"/>
    <n v="61"/>
    <n v="51"/>
    <n v="73"/>
    <n v="80"/>
    <n v="71"/>
    <n v="405"/>
    <n v="67.5"/>
    <s v="B"/>
    <n v="8"/>
  </r>
  <r>
    <s v="STU073"/>
    <s v="Obiageli Onyeka"/>
    <s v="Female"/>
    <x v="1"/>
    <x v="1"/>
    <n v="66"/>
    <n v="61"/>
    <n v="65"/>
    <n v="73"/>
    <n v="72"/>
    <n v="68"/>
    <n v="405"/>
    <n v="67.5"/>
    <s v="B"/>
    <n v="13"/>
  </r>
  <r>
    <s v="STU074"/>
    <s v="Obinna Williams"/>
    <s v="Male"/>
    <x v="1"/>
    <x v="2"/>
    <n v="55"/>
    <n v="80"/>
    <n v="74"/>
    <n v="60"/>
    <n v="77"/>
    <n v="73"/>
    <n v="419"/>
    <n v="69.833333333333329"/>
    <s v="B"/>
    <n v="11"/>
  </r>
  <r>
    <s v="STU074"/>
    <s v="Obinna Williams"/>
    <s v="Male"/>
    <x v="1"/>
    <x v="0"/>
    <n v="50"/>
    <n v="64"/>
    <n v="71"/>
    <n v="75"/>
    <n v="67"/>
    <n v="76"/>
    <n v="403"/>
    <n v="67.166666666666671"/>
    <s v="B"/>
    <n v="9"/>
  </r>
  <r>
    <s v="STU074"/>
    <s v="Obinna Williams"/>
    <s v="Male"/>
    <x v="1"/>
    <x v="1"/>
    <n v="47"/>
    <n v="72"/>
    <n v="61"/>
    <n v="53"/>
    <n v="67"/>
    <n v="75"/>
    <n v="375"/>
    <n v="62.5"/>
    <s v="B"/>
    <n v="18"/>
  </r>
  <r>
    <s v="STU075"/>
    <s v="Chiamaka Nwosu"/>
    <s v="Female"/>
    <x v="1"/>
    <x v="2"/>
    <n v="51"/>
    <n v="59"/>
    <n v="62"/>
    <n v="73"/>
    <n v="70"/>
    <n v="75"/>
    <n v="390"/>
    <n v="65"/>
    <s v="B"/>
    <n v="18"/>
  </r>
  <r>
    <s v="STU075"/>
    <s v="Chiamaka Nwosu"/>
    <s v="Female"/>
    <x v="1"/>
    <x v="0"/>
    <n v="50"/>
    <n v="58"/>
    <n v="55"/>
    <n v="54"/>
    <n v="61"/>
    <n v="71"/>
    <n v="349"/>
    <n v="58.166666666666664"/>
    <s v="C"/>
    <n v="21"/>
  </r>
  <r>
    <s v="STU075"/>
    <s v="Chiamaka Nwosu"/>
    <s v="Female"/>
    <x v="1"/>
    <x v="1"/>
    <n v="68"/>
    <n v="74"/>
    <n v="58"/>
    <n v="66"/>
    <n v="62"/>
    <n v="77"/>
    <n v="405"/>
    <n v="67.5"/>
    <s v="B"/>
    <n v="13"/>
  </r>
  <r>
    <s v="STU076"/>
    <s v="Bello Eze"/>
    <s v="Male"/>
    <x v="1"/>
    <x v="0"/>
    <n v="48"/>
    <n v="55"/>
    <n v="44"/>
    <n v="54"/>
    <n v="61"/>
    <n v="61"/>
    <n v="323"/>
    <n v="53.833333333333336"/>
    <s v="C"/>
    <n v="29"/>
  </r>
  <r>
    <s v="STU076"/>
    <s v="Bello Eze"/>
    <s v="Male"/>
    <x v="1"/>
    <x v="1"/>
    <n v="48"/>
    <n v="42"/>
    <n v="51"/>
    <n v="60"/>
    <n v="50"/>
    <n v="55"/>
    <n v="306"/>
    <n v="51"/>
    <s v="C"/>
    <n v="34"/>
  </r>
  <r>
    <s v="STU076"/>
    <s v="Bello Eze"/>
    <s v="Male"/>
    <x v="1"/>
    <x v="2"/>
    <n v="36"/>
    <n v="44"/>
    <n v="41"/>
    <n v="54"/>
    <n v="48"/>
    <n v="52"/>
    <n v="275"/>
    <n v="45.833333333333336"/>
    <s v="D"/>
    <n v="39"/>
  </r>
  <r>
    <s v="STU077"/>
    <s v="Nnamdi Ibrahim"/>
    <s v="Male"/>
    <x v="1"/>
    <x v="2"/>
    <n v="91"/>
    <n v="88"/>
    <n v="98"/>
    <n v="98"/>
    <n v="92"/>
    <n v="82"/>
    <n v="549"/>
    <n v="91.5"/>
    <s v="A"/>
    <n v="1"/>
  </r>
  <r>
    <s v="STU077"/>
    <s v="Nnamdi Ibrahim"/>
    <s v="Male"/>
    <x v="1"/>
    <x v="0"/>
    <n v="66"/>
    <n v="62"/>
    <n v="70"/>
    <n v="71"/>
    <n v="69"/>
    <n v="69"/>
    <n v="407"/>
    <n v="67.833333333333329"/>
    <s v="B"/>
    <n v="7"/>
  </r>
  <r>
    <s v="STU077"/>
    <s v="Nnamdi Ibrahim"/>
    <s v="Male"/>
    <x v="1"/>
    <x v="1"/>
    <n v="73"/>
    <n v="75"/>
    <n v="91"/>
    <n v="93"/>
    <n v="81"/>
    <n v="90"/>
    <n v="503"/>
    <n v="83.833333333333329"/>
    <s v="A"/>
    <n v="1"/>
  </r>
  <r>
    <s v="STU078"/>
    <s v="Funmilayo Adewale"/>
    <s v="Female"/>
    <x v="1"/>
    <x v="2"/>
    <n v="59"/>
    <n v="63"/>
    <n v="69"/>
    <n v="68"/>
    <n v="75"/>
    <n v="61"/>
    <n v="395"/>
    <n v="65.833333333333329"/>
    <s v="B"/>
    <n v="15"/>
  </r>
  <r>
    <s v="STU078"/>
    <s v="Funmilayo Adewale"/>
    <s v="Female"/>
    <x v="1"/>
    <x v="0"/>
    <n v="50"/>
    <n v="65"/>
    <n v="57"/>
    <n v="65"/>
    <n v="61"/>
    <n v="70"/>
    <n v="368"/>
    <n v="61.333333333333336"/>
    <s v="B"/>
    <n v="18"/>
  </r>
  <r>
    <s v="STU078"/>
    <s v="Funmilayo Adewale"/>
    <s v="Female"/>
    <x v="1"/>
    <x v="1"/>
    <n v="55"/>
    <n v="53"/>
    <n v="60"/>
    <n v="63"/>
    <n v="57"/>
    <n v="80"/>
    <n v="368"/>
    <n v="61.333333333333336"/>
    <s v="B"/>
    <n v="20"/>
  </r>
  <r>
    <s v="STU079"/>
    <s v="Nnamdi Williams"/>
    <s v="Male"/>
    <x v="1"/>
    <x v="2"/>
    <n v="47"/>
    <n v="54"/>
    <n v="64"/>
    <n v="64"/>
    <n v="69"/>
    <n v="52"/>
    <n v="350"/>
    <n v="58.333333333333336"/>
    <s v="C"/>
    <n v="24"/>
  </r>
  <r>
    <s v="STU079"/>
    <s v="Nnamdi Williams"/>
    <s v="Male"/>
    <x v="1"/>
    <x v="0"/>
    <n v="42"/>
    <n v="59"/>
    <n v="64"/>
    <n v="59"/>
    <n v="61"/>
    <n v="56"/>
    <n v="341"/>
    <n v="56.833333333333336"/>
    <s v="C"/>
    <n v="23"/>
  </r>
  <r>
    <s v="STU079"/>
    <s v="Nnamdi Williams"/>
    <s v="Male"/>
    <x v="1"/>
    <x v="1"/>
    <n v="51"/>
    <n v="52"/>
    <n v="54"/>
    <n v="65"/>
    <n v="47"/>
    <n v="64"/>
    <n v="333"/>
    <n v="55.5"/>
    <s v="C"/>
    <n v="27"/>
  </r>
  <r>
    <s v="STU080"/>
    <s v="Musa Olawale"/>
    <s v="Male"/>
    <x v="1"/>
    <x v="2"/>
    <n v="41"/>
    <n v="56"/>
    <n v="54"/>
    <n v="63"/>
    <n v="56"/>
    <n v="57"/>
    <n v="327"/>
    <n v="54.5"/>
    <s v="C"/>
    <n v="34"/>
  </r>
  <r>
    <s v="STU080"/>
    <s v="Musa Olawale"/>
    <s v="Male"/>
    <x v="1"/>
    <x v="0"/>
    <n v="48"/>
    <n v="54"/>
    <n v="51"/>
    <n v="63"/>
    <n v="67"/>
    <n v="55"/>
    <n v="338"/>
    <n v="56.333333333333336"/>
    <s v="C"/>
    <n v="26"/>
  </r>
  <r>
    <s v="STU080"/>
    <s v="Musa Olawale"/>
    <s v="Male"/>
    <x v="1"/>
    <x v="1"/>
    <n v="43"/>
    <n v="47"/>
    <n v="61"/>
    <n v="55"/>
    <n v="59"/>
    <n v="59"/>
    <n v="324"/>
    <n v="54"/>
    <s v="C"/>
    <n v="30"/>
  </r>
  <r>
    <s v="STU081"/>
    <s v="Folake Aliyu"/>
    <s v="Female"/>
    <x v="2"/>
    <x v="0"/>
    <n v="42"/>
    <n v="63"/>
    <n v="57"/>
    <n v="55"/>
    <n v="61"/>
    <n v="54"/>
    <n v="332"/>
    <n v="55.333333333333336"/>
    <s v="C"/>
    <n v="27"/>
  </r>
  <r>
    <s v="STU081"/>
    <s v="Folake Aliyu"/>
    <s v="Female"/>
    <x v="2"/>
    <x v="1"/>
    <n v="59"/>
    <n v="47"/>
    <n v="46"/>
    <n v="51"/>
    <n v="67"/>
    <n v="58"/>
    <n v="328"/>
    <n v="54.666666666666664"/>
    <s v="C"/>
    <n v="27"/>
  </r>
  <r>
    <s v="STU081"/>
    <s v="Folake Aliyu"/>
    <s v="Female"/>
    <x v="2"/>
    <x v="2"/>
    <n v="51"/>
    <n v="49"/>
    <n v="39"/>
    <n v="58"/>
    <n v="49"/>
    <n v="46"/>
    <n v="292"/>
    <n v="48.666666666666664"/>
    <s v="D"/>
    <n v="36"/>
  </r>
  <r>
    <s v="STU082"/>
    <s v="Yusuf Musa"/>
    <s v="Male"/>
    <x v="2"/>
    <x v="0"/>
    <n v="53"/>
    <n v="66"/>
    <n v="72"/>
    <n v="55"/>
    <n v="50"/>
    <n v="74"/>
    <n v="370"/>
    <n v="61.666666666666664"/>
    <s v="B"/>
    <n v="21"/>
  </r>
  <r>
    <s v="STU082"/>
    <s v="Yusuf Musa"/>
    <s v="Male"/>
    <x v="2"/>
    <x v="1"/>
    <n v="59"/>
    <n v="59"/>
    <n v="63"/>
    <n v="71"/>
    <n v="80"/>
    <n v="68"/>
    <n v="400"/>
    <n v="66.666666666666671"/>
    <s v="B"/>
    <n v="18"/>
  </r>
  <r>
    <s v="STU082"/>
    <s v="Yusuf Musa"/>
    <s v="Male"/>
    <x v="2"/>
    <x v="2"/>
    <n v="66"/>
    <n v="60"/>
    <n v="58"/>
    <n v="69"/>
    <n v="60"/>
    <n v="60"/>
    <n v="373"/>
    <n v="62.166666666666664"/>
    <s v="B"/>
    <n v="27"/>
  </r>
  <r>
    <s v="STU083"/>
    <s v="Ruth Afolabi"/>
    <s v="Female"/>
    <x v="2"/>
    <x v="0"/>
    <n v="65"/>
    <n v="51"/>
    <n v="63"/>
    <n v="65"/>
    <n v="66"/>
    <n v="61"/>
    <n v="371"/>
    <n v="61.833333333333336"/>
    <s v="B"/>
    <n v="20"/>
  </r>
  <r>
    <s v="STU083"/>
    <s v="Ruth Afolabi"/>
    <s v="Female"/>
    <x v="2"/>
    <x v="1"/>
    <n v="46"/>
    <n v="61"/>
    <n v="56"/>
    <n v="66"/>
    <n v="70"/>
    <n v="67"/>
    <n v="366"/>
    <n v="61"/>
    <s v="B"/>
    <n v="22"/>
  </r>
  <r>
    <s v="STU083"/>
    <s v="Ruth Afolabi"/>
    <s v="Female"/>
    <x v="2"/>
    <x v="2"/>
    <n v="54"/>
    <n v="69"/>
    <n v="60"/>
    <n v="64"/>
    <n v="69"/>
    <n v="75"/>
    <n v="391"/>
    <n v="65.166666666666671"/>
    <s v="B"/>
    <n v="22"/>
  </r>
  <r>
    <s v="STU084"/>
    <s v="Omolara Oyewole"/>
    <s v="Female"/>
    <x v="2"/>
    <x v="0"/>
    <n v="79"/>
    <n v="82"/>
    <n v="59"/>
    <n v="64"/>
    <n v="75"/>
    <n v="80"/>
    <n v="439"/>
    <n v="73.166666666666671"/>
    <s v="A"/>
    <n v="8"/>
  </r>
  <r>
    <s v="STU084"/>
    <s v="Omolara Oyewole"/>
    <s v="Female"/>
    <x v="2"/>
    <x v="1"/>
    <n v="66"/>
    <n v="88"/>
    <m/>
    <n v="88"/>
    <n v="74"/>
    <n v="73"/>
    <n v="389"/>
    <n v="77.8"/>
    <s v="A"/>
    <n v="8"/>
  </r>
  <r>
    <s v="STU084"/>
    <s v="Omolara Oyewole"/>
    <s v="Female"/>
    <x v="2"/>
    <x v="2"/>
    <n v="62"/>
    <n v="75"/>
    <n v="65"/>
    <n v="74"/>
    <n v="77"/>
    <n v="88"/>
    <n v="441"/>
    <n v="73.5"/>
    <s v="A"/>
    <n v="14"/>
  </r>
  <r>
    <s v="STU085"/>
    <s v="Femi Uzor"/>
    <s v="Male"/>
    <x v="2"/>
    <x v="0"/>
    <n v="75"/>
    <n v="75"/>
    <n v="80"/>
    <n v="89"/>
    <n v="93"/>
    <n v="84"/>
    <n v="496"/>
    <n v="82.666666666666671"/>
    <s v="A"/>
    <n v="3"/>
  </r>
  <r>
    <s v="STU085"/>
    <s v="Femi Uzor"/>
    <s v="Male"/>
    <x v="2"/>
    <x v="1"/>
    <n v="79"/>
    <n v="90"/>
    <n v="82"/>
    <n v="85"/>
    <n v="81"/>
    <n v="82"/>
    <n v="499"/>
    <n v="83.166666666666671"/>
    <s v="A"/>
    <n v="4"/>
  </r>
  <r>
    <s v="STU085"/>
    <s v="Femi Uzor"/>
    <s v="Male"/>
    <x v="2"/>
    <x v="2"/>
    <n v="55"/>
    <n v="80"/>
    <n v="71"/>
    <n v="80"/>
    <n v="83"/>
    <n v="76"/>
    <n v="445"/>
    <n v="74.166666666666671"/>
    <s v="A"/>
    <n v="12"/>
  </r>
  <r>
    <s v="STU086"/>
    <s v="John Ojo"/>
    <s v="Male"/>
    <x v="2"/>
    <x v="0"/>
    <n v="52"/>
    <n v="52"/>
    <n v="59"/>
    <n v="55"/>
    <n v="57"/>
    <n v="55"/>
    <n v="330"/>
    <n v="55"/>
    <s v="C"/>
    <n v="28"/>
  </r>
  <r>
    <s v="STU086"/>
    <s v="John Ojo"/>
    <s v="Male"/>
    <x v="2"/>
    <x v="1"/>
    <n v="60"/>
    <n v="41"/>
    <n v="50"/>
    <n v="57"/>
    <n v="49"/>
    <n v="56"/>
    <n v="313"/>
    <n v="52.166666666666664"/>
    <s v="C"/>
    <n v="34"/>
  </r>
  <r>
    <s v="STU086"/>
    <s v="John Ojo"/>
    <s v="Male"/>
    <x v="2"/>
    <x v="2"/>
    <n v="40"/>
    <n v="62"/>
    <n v="49"/>
    <n v="67"/>
    <n v="63"/>
    <n v="61"/>
    <n v="342"/>
    <n v="57"/>
    <s v="C"/>
    <n v="28"/>
  </r>
  <r>
    <s v="STU087"/>
    <s v="Michael Amadi"/>
    <s v="Male"/>
    <x v="2"/>
    <x v="2"/>
    <n v="82"/>
    <n v="97"/>
    <n v="83"/>
    <n v="98"/>
    <n v="85"/>
    <n v="97"/>
    <n v="542"/>
    <n v="90.333333333333329"/>
    <s v="A"/>
    <n v="2"/>
  </r>
  <r>
    <s v="STU087"/>
    <s v="Michael Amadi"/>
    <s v="Male"/>
    <x v="2"/>
    <x v="0"/>
    <n v="72"/>
    <n v="84"/>
    <n v="89"/>
    <n v="91"/>
    <n v="98"/>
    <n v="89"/>
    <n v="523"/>
    <n v="87.166666666666671"/>
    <s v="A"/>
    <n v="1"/>
  </r>
  <r>
    <s v="STU087"/>
    <s v="Michael Amadi"/>
    <s v="Male"/>
    <x v="2"/>
    <x v="1"/>
    <n v="95"/>
    <n v="88"/>
    <n v="82"/>
    <n v="98"/>
    <n v="98"/>
    <n v="95"/>
    <n v="556"/>
    <n v="92.666666666666671"/>
    <s v="A"/>
    <n v="1"/>
  </r>
  <r>
    <s v="STU088"/>
    <s v="Sade Obi"/>
    <s v="Female"/>
    <x v="2"/>
    <x v="0"/>
    <n v="53"/>
    <n v="67"/>
    <n v="44"/>
    <n v="64"/>
    <n v="62"/>
    <n v="65"/>
    <n v="355"/>
    <n v="59.166666666666664"/>
    <s v="C"/>
    <n v="24"/>
  </r>
  <r>
    <s v="STU088"/>
    <s v="Sade Obi"/>
    <s v="Female"/>
    <x v="2"/>
    <x v="1"/>
    <n v="48"/>
    <n v="51"/>
    <n v="55"/>
    <n v="62"/>
    <n v="75"/>
    <n v="67"/>
    <n v="358"/>
    <n v="59.666666666666664"/>
    <s v="C"/>
    <n v="25"/>
  </r>
  <r>
    <s v="STU088"/>
    <s v="Sade Obi"/>
    <s v="Female"/>
    <x v="2"/>
    <x v="2"/>
    <n v="55"/>
    <n v="66"/>
    <n v="48"/>
    <n v="69"/>
    <n v="72"/>
    <n v="74"/>
    <n v="384"/>
    <n v="64"/>
    <s v="B"/>
    <n v="24"/>
  </r>
  <r>
    <s v="STU089"/>
    <s v="Tunde Umar"/>
    <s v="Male"/>
    <x v="2"/>
    <x v="0"/>
    <n v="66"/>
    <n v="66"/>
    <n v="66"/>
    <n v="79"/>
    <n v="82"/>
    <n v="89"/>
    <n v="448"/>
    <n v="74.666666666666671"/>
    <s v="A"/>
    <n v="4"/>
  </r>
  <r>
    <s v="STU089"/>
    <s v="Tunde Umar"/>
    <s v="Male"/>
    <x v="2"/>
    <x v="1"/>
    <n v="80"/>
    <n v="82"/>
    <n v="74"/>
    <n v="80"/>
    <n v="78"/>
    <n v="89"/>
    <n v="483"/>
    <n v="80.5"/>
    <s v="A"/>
    <n v="6"/>
  </r>
  <r>
    <s v="STU089"/>
    <s v="Tunde Umar"/>
    <s v="Male"/>
    <x v="2"/>
    <x v="2"/>
    <n v="75"/>
    <n v="78"/>
    <n v="66"/>
    <n v="87"/>
    <n v="70"/>
    <n v="91"/>
    <n v="467"/>
    <n v="77.833333333333329"/>
    <s v="A"/>
    <n v="9"/>
  </r>
  <r>
    <s v="STU090"/>
    <s v="Ngozi Bello"/>
    <s v="Female"/>
    <x v="2"/>
    <x v="0"/>
    <n v="68"/>
    <n v="56"/>
    <n v="64"/>
    <n v="61"/>
    <n v="70"/>
    <n v="77"/>
    <n v="396"/>
    <n v="66"/>
    <s v="B"/>
    <n v="17"/>
  </r>
  <r>
    <s v="STU090"/>
    <s v="Ngozi Bello"/>
    <s v="Female"/>
    <x v="2"/>
    <x v="1"/>
    <n v="61"/>
    <n v="58"/>
    <n v="67"/>
    <n v="72"/>
    <n v="71"/>
    <n v="66"/>
    <n v="395"/>
    <n v="65.833333333333329"/>
    <s v="B"/>
    <n v="19"/>
  </r>
  <r>
    <s v="STU090"/>
    <s v="Ngozi Bello"/>
    <s v="Female"/>
    <x v="2"/>
    <x v="2"/>
    <n v="60"/>
    <n v="70"/>
    <n v="65"/>
    <n v="86"/>
    <n v="74"/>
    <n v="73"/>
    <n v="428"/>
    <n v="71.333333333333329"/>
    <s v="A"/>
    <n v="16"/>
  </r>
  <r>
    <s v="STU091"/>
    <s v="Yusuf Abubakar"/>
    <s v="Male"/>
    <x v="2"/>
    <x v="0"/>
    <n v="41"/>
    <n v="35"/>
    <n v="44"/>
    <n v="58"/>
    <n v="41"/>
    <n v="51"/>
    <n v="270"/>
    <n v="45"/>
    <s v="D"/>
    <n v="36"/>
  </r>
  <r>
    <s v="STU091"/>
    <s v="Yusuf Abubakar"/>
    <s v="Male"/>
    <x v="2"/>
    <x v="1"/>
    <n v="46"/>
    <n v="34"/>
    <n v="56"/>
    <n v="42"/>
    <n v="48"/>
    <n v="55"/>
    <n v="281"/>
    <n v="46.833333333333336"/>
    <s v="D"/>
    <n v="37"/>
  </r>
  <r>
    <s v="STU091"/>
    <s v="Yusuf Abubakar"/>
    <s v="Male"/>
    <x v="2"/>
    <x v="2"/>
    <n v="42"/>
    <n v="55"/>
    <n v="48"/>
    <n v="56"/>
    <n v="54"/>
    <n v="66"/>
    <n v="321"/>
    <n v="53.5"/>
    <s v="C"/>
    <n v="32"/>
  </r>
  <r>
    <s v="STU092"/>
    <s v="Adaeze Nwankwo"/>
    <s v="Female"/>
    <x v="2"/>
    <x v="2"/>
    <n v="89"/>
    <n v="73"/>
    <n v="82"/>
    <n v="78"/>
    <n v="85"/>
    <n v="82"/>
    <n v="489"/>
    <n v="81.5"/>
    <s v="A"/>
    <n v="5"/>
  </r>
  <r>
    <s v="STU092"/>
    <s v="Adaeze Nwankwo"/>
    <s v="Female"/>
    <x v="2"/>
    <x v="0"/>
    <n v="44"/>
    <n v="67"/>
    <n v="60"/>
    <n v="61"/>
    <n v="63"/>
    <n v="67"/>
    <n v="362"/>
    <n v="60.333333333333336"/>
    <s v="B"/>
    <n v="23"/>
  </r>
  <r>
    <s v="STU092"/>
    <s v="Adaeze Nwankwo"/>
    <s v="Female"/>
    <x v="2"/>
    <x v="1"/>
    <n v="69"/>
    <n v="65"/>
    <n v="68"/>
    <n v="76"/>
    <n v="67"/>
    <n v="85"/>
    <n v="430"/>
    <n v="71.666666666666671"/>
    <s v="A"/>
    <n v="12"/>
  </r>
  <r>
    <s v="STU093"/>
    <s v="Bello Ogbonna"/>
    <s v="Male"/>
    <x v="2"/>
    <x v="0"/>
    <n v="67"/>
    <n v="55"/>
    <n v="61"/>
    <n v="64"/>
    <n v="54"/>
    <n v="48"/>
    <n v="349"/>
    <n v="58.166666666666664"/>
    <s v="C"/>
    <n v="26"/>
  </r>
  <r>
    <s v="STU093"/>
    <s v="Bello Ogbonna"/>
    <s v="Male"/>
    <x v="2"/>
    <x v="1"/>
    <n v="55"/>
    <n v="63"/>
    <n v="51"/>
    <n v="56"/>
    <n v="68"/>
    <n v="69"/>
    <n v="362"/>
    <n v="60.333333333333336"/>
    <s v="B"/>
    <n v="23"/>
  </r>
  <r>
    <s v="STU093"/>
    <s v="Bello Ogbonna"/>
    <s v="Male"/>
    <x v="2"/>
    <x v="2"/>
    <n v="58"/>
    <n v="59"/>
    <n v="49"/>
    <n v="51"/>
    <n v="47"/>
    <n v="62"/>
    <n v="326"/>
    <n v="54.333333333333336"/>
    <s v="C"/>
    <n v="31"/>
  </r>
  <r>
    <s v="STU094"/>
    <s v="Olumide Eke"/>
    <s v="Male"/>
    <x v="2"/>
    <x v="0"/>
    <n v="73"/>
    <n v="69"/>
    <n v="63"/>
    <n v="58"/>
    <n v="65"/>
    <n v="71"/>
    <n v="399"/>
    <n v="66.5"/>
    <s v="B"/>
    <n v="14"/>
  </r>
  <r>
    <s v="STU094"/>
    <s v="Olumide Eke"/>
    <s v="Male"/>
    <x v="2"/>
    <x v="1"/>
    <n v="61"/>
    <n v="74"/>
    <n v="65"/>
    <n v="76"/>
    <n v="71"/>
    <n v="73"/>
    <n v="420"/>
    <n v="70"/>
    <s v="A"/>
    <n v="15"/>
  </r>
  <r>
    <s v="STU094"/>
    <s v="Olumide Eke"/>
    <s v="Male"/>
    <x v="2"/>
    <x v="2"/>
    <n v="74"/>
    <n v="66"/>
    <n v="67"/>
    <n v="65"/>
    <n v="76"/>
    <n v="84"/>
    <n v="432"/>
    <n v="72"/>
    <s v="A"/>
    <n v="15"/>
  </r>
  <r>
    <s v="STU095"/>
    <s v="Daniel Salami"/>
    <s v="Male"/>
    <x v="2"/>
    <x v="0"/>
    <n v="61"/>
    <n v="67"/>
    <n v="67"/>
    <n v="69"/>
    <n v="71"/>
    <n v="71"/>
    <n v="406"/>
    <n v="67.666666666666671"/>
    <s v="B"/>
    <n v="13"/>
  </r>
  <r>
    <s v="STU095"/>
    <s v="Daniel Salami"/>
    <s v="Male"/>
    <x v="2"/>
    <x v="1"/>
    <n v="51"/>
    <n v="67"/>
    <n v="68"/>
    <n v="60"/>
    <n v="69"/>
    <n v="77"/>
    <n v="392"/>
    <n v="65.333333333333329"/>
    <s v="B"/>
    <n v="20"/>
  </r>
  <r>
    <s v="STU095"/>
    <s v="Daniel Salami"/>
    <s v="Male"/>
    <x v="2"/>
    <x v="2"/>
    <n v="57"/>
    <n v="56"/>
    <n v="64"/>
    <n v="80"/>
    <n v="63"/>
    <n v="71"/>
    <n v="391"/>
    <n v="65.166666666666671"/>
    <s v="B"/>
    <n v="22"/>
  </r>
  <r>
    <s v="STU096"/>
    <s v="Precious Musa"/>
    <s v="Female"/>
    <x v="2"/>
    <x v="2"/>
    <n v="81"/>
    <n v="73"/>
    <n v="72"/>
    <n v="77"/>
    <n v="84"/>
    <n v="84"/>
    <n v="471"/>
    <n v="78.5"/>
    <s v="A"/>
    <n v="8"/>
  </r>
  <r>
    <s v="STU096"/>
    <s v="Precious Musa"/>
    <s v="Female"/>
    <x v="2"/>
    <x v="0"/>
    <n v="61"/>
    <n v="70"/>
    <n v="72"/>
    <n v="86"/>
    <n v="71"/>
    <n v="73"/>
    <n v="433"/>
    <n v="72.166666666666671"/>
    <s v="A"/>
    <n v="10"/>
  </r>
  <r>
    <s v="STU096"/>
    <s v="Precious Musa"/>
    <s v="Female"/>
    <x v="2"/>
    <x v="1"/>
    <n v="64"/>
    <n v="68"/>
    <n v="63"/>
    <n v="73"/>
    <n v="79"/>
    <n v="82"/>
    <n v="429"/>
    <n v="71.5"/>
    <s v="A"/>
    <n v="13"/>
  </r>
  <r>
    <s v="STU097"/>
    <s v="Yetunde Adebayo"/>
    <s v="Female"/>
    <x v="2"/>
    <x v="2"/>
    <n v="75"/>
    <n v="98"/>
    <n v="95"/>
    <n v="91"/>
    <n v="93"/>
    <n v="94"/>
    <n v="546"/>
    <n v="91"/>
    <s v="A"/>
    <n v="1"/>
  </r>
  <r>
    <s v="STU097"/>
    <s v="Yetunde Adebayo"/>
    <s v="Female"/>
    <x v="2"/>
    <x v="0"/>
    <n v="81"/>
    <n v="76"/>
    <n v="86"/>
    <n v="91"/>
    <n v="84"/>
    <n v="83"/>
    <n v="501"/>
    <n v="83.5"/>
    <s v="A"/>
    <n v="2"/>
  </r>
  <r>
    <s v="STU097"/>
    <s v="Yetunde Adebayo"/>
    <s v="Female"/>
    <x v="2"/>
    <x v="1"/>
    <n v="83"/>
    <n v="82"/>
    <n v="98"/>
    <n v="91"/>
    <n v="97"/>
    <n v="84"/>
    <n v="535"/>
    <n v="89.166666666666671"/>
    <s v="A"/>
    <n v="2"/>
  </r>
  <r>
    <s v="STU098"/>
    <s v="Uchenna Obi"/>
    <s v="Male"/>
    <x v="2"/>
    <x v="0"/>
    <n v="62"/>
    <n v="73"/>
    <n v="54"/>
    <n v="73"/>
    <n v="64"/>
    <n v="69"/>
    <n v="395"/>
    <n v="65.833333333333329"/>
    <s v="B"/>
    <n v="18"/>
  </r>
  <r>
    <s v="STU098"/>
    <s v="Uchenna Obi"/>
    <s v="Male"/>
    <x v="2"/>
    <x v="1"/>
    <n v="56"/>
    <n v="53"/>
    <n v="81"/>
    <n v="83"/>
    <n v="72"/>
    <n v="73"/>
    <n v="418"/>
    <n v="69.666666666666671"/>
    <s v="B"/>
    <n v="16"/>
  </r>
  <r>
    <s v="STU098"/>
    <s v="Uchenna Obi"/>
    <s v="Male"/>
    <x v="2"/>
    <x v="2"/>
    <n v="46"/>
    <n v="76"/>
    <n v="57"/>
    <n v="61"/>
    <n v="71"/>
    <n v="67"/>
    <n v="378"/>
    <n v="63"/>
    <s v="B"/>
    <n v="25"/>
  </r>
  <r>
    <s v="STU099"/>
    <s v="Emmanuel Thomas"/>
    <s v="Male"/>
    <x v="2"/>
    <x v="2"/>
    <n v="59"/>
    <n v="62"/>
    <n v="82"/>
    <n v="84"/>
    <n v="80"/>
    <n v="75"/>
    <n v="442"/>
    <n v="73.666666666666671"/>
    <s v="A"/>
    <n v="13"/>
  </r>
  <r>
    <s v="STU099"/>
    <s v="Emmanuel Thomas"/>
    <s v="Male"/>
    <x v="2"/>
    <x v="0"/>
    <n v="54"/>
    <n v="64"/>
    <n v="61"/>
    <n v="69"/>
    <n v="74"/>
    <n v="75"/>
    <n v="397"/>
    <n v="66.166666666666671"/>
    <s v="B"/>
    <n v="15"/>
  </r>
  <r>
    <s v="STU099"/>
    <s v="Emmanuel Thomas"/>
    <s v="Male"/>
    <x v="2"/>
    <x v="1"/>
    <n v="72"/>
    <n v="69"/>
    <n v="74"/>
    <n v="84"/>
    <n v="65"/>
    <n v="80"/>
    <n v="444"/>
    <n v="74"/>
    <s v="A"/>
    <n v="11"/>
  </r>
  <r>
    <s v="STU100"/>
    <s v="Patience Nwosu"/>
    <s v="Female"/>
    <x v="2"/>
    <x v="2"/>
    <n v="63"/>
    <n v="82"/>
    <n v="84"/>
    <n v="77"/>
    <n v="70"/>
    <n v="85"/>
    <n v="461"/>
    <n v="76.833333333333329"/>
    <s v="A"/>
    <n v="10"/>
  </r>
  <r>
    <s v="STU100"/>
    <s v="Patience Nwosu"/>
    <s v="Female"/>
    <x v="2"/>
    <x v="0"/>
    <n v="73"/>
    <n v="59"/>
    <n v="67"/>
    <n v="75"/>
    <n v="81"/>
    <n v="64"/>
    <n v="419"/>
    <n v="69.833333333333329"/>
    <s v="B"/>
    <n v="11"/>
  </r>
  <r>
    <s v="STU100"/>
    <s v="Patience Nwosu"/>
    <s v="Female"/>
    <x v="2"/>
    <x v="1"/>
    <n v="46"/>
    <n v="75"/>
    <n v="74"/>
    <n v="78"/>
    <n v="72"/>
    <n v="80"/>
    <n v="425"/>
    <n v="70.833333333333329"/>
    <s v="A"/>
    <n v="14"/>
  </r>
  <r>
    <s v="STU101"/>
    <s v="Wuraola Ezeh"/>
    <s v="Female"/>
    <x v="2"/>
    <x v="0"/>
    <n v="46"/>
    <n v="53"/>
    <n v="61"/>
    <n v="58"/>
    <n v="72"/>
    <n v="62"/>
    <n v="352"/>
    <n v="58.666666666666664"/>
    <s v="C"/>
    <n v="25"/>
  </r>
  <r>
    <s v="STU101"/>
    <s v="Wuraola Ezeh"/>
    <s v="Female"/>
    <x v="2"/>
    <x v="1"/>
    <n v="45"/>
    <n v="67"/>
    <n v="56"/>
    <n v="58"/>
    <n v="65"/>
    <n v="65"/>
    <n v="356"/>
    <n v="59.333333333333336"/>
    <s v="C"/>
    <n v="26"/>
  </r>
  <r>
    <s v="STU101"/>
    <s v="Wuraola Ezeh"/>
    <s v="Female"/>
    <x v="2"/>
    <x v="2"/>
    <n v="47"/>
    <n v="58"/>
    <n v="70"/>
    <n v="68"/>
    <n v="72"/>
    <n v="77"/>
    <n v="392"/>
    <n v="65.333333333333329"/>
    <s v="B"/>
    <n v="21"/>
  </r>
  <r>
    <s v="STU102"/>
    <s v="Zainab Chukwu"/>
    <s v="Female"/>
    <x v="2"/>
    <x v="2"/>
    <n v="68"/>
    <n v="53"/>
    <n v="63"/>
    <n v="71"/>
    <n v="59"/>
    <n v="79"/>
    <n v="393"/>
    <n v="65.5"/>
    <s v="B"/>
    <n v="20"/>
  </r>
  <r>
    <s v="STU102"/>
    <s v="Zainab Chukwu"/>
    <s v="Female"/>
    <x v="2"/>
    <x v="0"/>
    <n v="58"/>
    <n v="47"/>
    <n v="45"/>
    <n v="48"/>
    <n v="52"/>
    <n v="51"/>
    <n v="301"/>
    <n v="50.166666666666664"/>
    <s v="C"/>
    <n v="31"/>
  </r>
  <r>
    <s v="STU102"/>
    <s v="Zainab Chukwu"/>
    <s v="Female"/>
    <x v="2"/>
    <x v="1"/>
    <n v="54"/>
    <n v="60"/>
    <n v="63"/>
    <n v="55"/>
    <n v="60"/>
    <n v="69"/>
    <n v="361"/>
    <n v="60.166666666666664"/>
    <s v="B"/>
    <n v="24"/>
  </r>
  <r>
    <s v="STU103"/>
    <s v="Ngozi Olawale"/>
    <s v="Female"/>
    <x v="2"/>
    <x v="0"/>
    <n v="45"/>
    <n v="29"/>
    <n v="30"/>
    <n v="52"/>
    <n v="54"/>
    <n v="40"/>
    <n v="250"/>
    <n v="41.666666666666664"/>
    <s v="E"/>
    <n v="40"/>
  </r>
  <r>
    <s v="STU103"/>
    <s v="Ngozi Olawale"/>
    <s v="Female"/>
    <x v="2"/>
    <x v="1"/>
    <n v="25"/>
    <n v="43"/>
    <n v="35"/>
    <n v="38"/>
    <n v="54"/>
    <n v="46"/>
    <n v="241"/>
    <n v="40.166666666666664"/>
    <s v="E"/>
    <n v="39"/>
  </r>
  <r>
    <s v="STU103"/>
    <s v="Ngozi Olawale"/>
    <s v="Female"/>
    <x v="2"/>
    <x v="2"/>
    <n v="15"/>
    <n v="36"/>
    <n v="22"/>
    <n v="42"/>
    <n v="45"/>
    <n v="43"/>
    <n v="203"/>
    <n v="33.833333333333336"/>
    <s v="F"/>
    <n v="40"/>
  </r>
  <r>
    <s v="STU104"/>
    <s v="Funmilayo Uzor"/>
    <s v="Female"/>
    <x v="2"/>
    <x v="0"/>
    <n v="39"/>
    <n v="52"/>
    <n v="42"/>
    <n v="39"/>
    <n v="35"/>
    <n v="46"/>
    <n v="253"/>
    <n v="42.166666666666664"/>
    <s v="E"/>
    <n v="39"/>
  </r>
  <r>
    <s v="STU104"/>
    <s v="Funmilayo Uzor"/>
    <s v="Female"/>
    <x v="2"/>
    <x v="1"/>
    <n v="24"/>
    <n v="28"/>
    <n v="32"/>
    <n v="28"/>
    <n v="32"/>
    <n v="47"/>
    <n v="191"/>
    <n v="31.833333333333332"/>
    <s v="F"/>
    <n v="40"/>
  </r>
  <r>
    <s v="STU104"/>
    <s v="Funmilayo Uzor"/>
    <s v="Female"/>
    <x v="2"/>
    <x v="2"/>
    <n v="27"/>
    <n v="34"/>
    <n v="34"/>
    <n v="26"/>
    <n v="42"/>
    <n v="42"/>
    <n v="205"/>
    <n v="34.166666666666664"/>
    <s v="F"/>
    <n v="39"/>
  </r>
  <r>
    <s v="STU105"/>
    <s v="Ibrahim Nwosu"/>
    <s v="Male"/>
    <x v="2"/>
    <x v="2"/>
    <n v="58"/>
    <n v="65"/>
    <n v="64"/>
    <n v="69"/>
    <n v="75"/>
    <n v="75"/>
    <n v="406"/>
    <n v="67.666666666666671"/>
    <s v="B"/>
    <n v="18"/>
  </r>
  <r>
    <s v="STU105"/>
    <s v="Ibrahim Nwosu"/>
    <s v="Male"/>
    <x v="2"/>
    <x v="0"/>
    <n v="39"/>
    <n v="47"/>
    <n v="28"/>
    <n v="61"/>
    <n v="47"/>
    <n v="41"/>
    <n v="263"/>
    <n v="43.833333333333336"/>
    <s v="E"/>
    <n v="37"/>
  </r>
  <r>
    <s v="STU105"/>
    <s v="Ibrahim Nwosu"/>
    <s v="Male"/>
    <x v="2"/>
    <x v="1"/>
    <n v="49"/>
    <n v="45"/>
    <n v="52"/>
    <n v="61"/>
    <n v="49"/>
    <n v="66"/>
    <n v="322"/>
    <n v="53.666666666666664"/>
    <s v="C"/>
    <n v="31"/>
  </r>
  <r>
    <s v="STU106"/>
    <s v="Mercy Ibrahim"/>
    <s v="Female"/>
    <x v="2"/>
    <x v="0"/>
    <n v="52"/>
    <n v="49"/>
    <n v="55"/>
    <n v="54"/>
    <n v="48"/>
    <n v="60"/>
    <n v="318"/>
    <n v="53"/>
    <s v="C"/>
    <n v="29"/>
  </r>
  <r>
    <s v="STU106"/>
    <s v="Mercy Ibrahim"/>
    <s v="Female"/>
    <x v="2"/>
    <x v="1"/>
    <n v="39"/>
    <n v="60"/>
    <n v="50"/>
    <n v="55"/>
    <n v="61"/>
    <n v="55"/>
    <n v="320"/>
    <n v="53.333333333333336"/>
    <s v="C"/>
    <n v="32"/>
  </r>
  <r>
    <s v="STU106"/>
    <s v="Mercy Ibrahim"/>
    <s v="Female"/>
    <x v="2"/>
    <x v="2"/>
    <n v="41"/>
    <n v="57"/>
    <n v="37"/>
    <n v="46"/>
    <n v="52"/>
    <n v="61"/>
    <n v="294"/>
    <n v="49"/>
    <s v="D"/>
    <n v="35"/>
  </r>
  <r>
    <s v="STU107"/>
    <s v="Peter Ezeh"/>
    <s v="Male"/>
    <x v="2"/>
    <x v="2"/>
    <n v="64"/>
    <n v="80"/>
    <n v="82"/>
    <n v="75"/>
    <n v="78"/>
    <n v="77"/>
    <n v="456"/>
    <n v="76"/>
    <s v="A"/>
    <n v="11"/>
  </r>
  <r>
    <s v="STU107"/>
    <s v="Peter Ezeh"/>
    <s v="Male"/>
    <x v="2"/>
    <x v="0"/>
    <n v="68"/>
    <n v="64"/>
    <n v="63"/>
    <n v="87"/>
    <n v="78"/>
    <n v="74"/>
    <n v="434"/>
    <n v="72.333333333333329"/>
    <s v="A"/>
    <n v="9"/>
  </r>
  <r>
    <s v="STU107"/>
    <s v="Peter Ezeh"/>
    <s v="Male"/>
    <x v="2"/>
    <x v="1"/>
    <n v="62"/>
    <n v="98"/>
    <n v="79"/>
    <n v="63"/>
    <n v="73"/>
    <n v="83"/>
    <n v="458"/>
    <n v="76.333333333333329"/>
    <s v="A"/>
    <n v="9"/>
  </r>
  <r>
    <s v="STU108"/>
    <s v="Segun Aliyu"/>
    <s v="Male"/>
    <x v="2"/>
    <x v="0"/>
    <n v="44"/>
    <n v="54"/>
    <n v="48"/>
    <n v="39"/>
    <n v="53"/>
    <n v="46"/>
    <n v="284"/>
    <n v="47.333333333333336"/>
    <s v="D"/>
    <n v="33"/>
  </r>
  <r>
    <s v="STU108"/>
    <s v="Segun Aliyu"/>
    <s v="Male"/>
    <x v="2"/>
    <x v="1"/>
    <n v="55"/>
    <n v="52"/>
    <n v="54"/>
    <n v="52"/>
    <n v="52"/>
    <n v="58"/>
    <n v="323"/>
    <n v="53.833333333333336"/>
    <s v="C"/>
    <n v="29"/>
  </r>
  <r>
    <s v="STU108"/>
    <s v="Segun Aliyu"/>
    <s v="Male"/>
    <x v="2"/>
    <x v="2"/>
    <n v="48"/>
    <n v="65"/>
    <n v="44"/>
    <n v="62"/>
    <n v="54"/>
    <n v="66"/>
    <n v="339"/>
    <n v="56.5"/>
    <s v="C"/>
    <n v="29"/>
  </r>
  <r>
    <s v="STU109"/>
    <s v="Seun Ogbonna"/>
    <s v="Male"/>
    <x v="2"/>
    <x v="2"/>
    <n v="56"/>
    <n v="61"/>
    <n v="70"/>
    <n v="77"/>
    <n v="81"/>
    <n v="71"/>
    <n v="416"/>
    <n v="69.333333333333329"/>
    <s v="B"/>
    <n v="17"/>
  </r>
  <r>
    <s v="STU109"/>
    <s v="Seun Ogbonna"/>
    <s v="Male"/>
    <x v="2"/>
    <x v="0"/>
    <n v="47"/>
    <n v="75"/>
    <n v="62"/>
    <n v="60"/>
    <n v="75"/>
    <n v="71"/>
    <n v="390"/>
    <n v="65"/>
    <s v="B"/>
    <n v="19"/>
  </r>
  <r>
    <s v="STU109"/>
    <s v="Seun Ogbonna"/>
    <s v="Male"/>
    <x v="2"/>
    <x v="1"/>
    <n v="62"/>
    <n v="75"/>
    <n v="57"/>
    <n v="64"/>
    <n v="71"/>
    <n v="76"/>
    <n v="405"/>
    <n v="67.5"/>
    <s v="B"/>
    <n v="17"/>
  </r>
  <r>
    <s v="STU110"/>
    <s v="Ayodele Yakubu"/>
    <s v="Male"/>
    <x v="2"/>
    <x v="2"/>
    <n v="72"/>
    <n v="86"/>
    <n v="73"/>
    <n v="71"/>
    <n v="93"/>
    <n v="98"/>
    <n v="493"/>
    <n v="82.166666666666671"/>
    <s v="A"/>
    <n v="4"/>
  </r>
  <r>
    <s v="STU110"/>
    <s v="Ayodele Yakubu"/>
    <s v="Male"/>
    <x v="2"/>
    <x v="0"/>
    <n v="51"/>
    <n v="79"/>
    <n v="79"/>
    <n v="68"/>
    <n v="80"/>
    <n v="83"/>
    <n v="440"/>
    <n v="73.333333333333329"/>
    <s v="A"/>
    <n v="7"/>
  </r>
  <r>
    <s v="STU110"/>
    <s v="Ayodele Yakubu"/>
    <s v="Male"/>
    <x v="2"/>
    <x v="1"/>
    <n v="74"/>
    <n v="75"/>
    <n v="76"/>
    <n v="85"/>
    <n v="69"/>
    <n v="90"/>
    <n v="469"/>
    <n v="78.166666666666671"/>
    <s v="A"/>
    <n v="7"/>
  </r>
  <r>
    <s v="STU111"/>
    <s v="Peter Nwankwo"/>
    <s v="Male"/>
    <x v="2"/>
    <x v="2"/>
    <n v="72"/>
    <n v="93"/>
    <n v="98"/>
    <n v="97"/>
    <n v="85"/>
    <n v="87"/>
    <n v="532"/>
    <n v="88.666666666666671"/>
    <s v="A"/>
    <n v="3"/>
  </r>
  <r>
    <s v="STU111"/>
    <s v="Peter Nwankwo"/>
    <s v="Male"/>
    <x v="2"/>
    <x v="0"/>
    <n v="59"/>
    <n v="69"/>
    <n v="77"/>
    <n v="74"/>
    <n v="87"/>
    <n v="78"/>
    <n v="444"/>
    <n v="74"/>
    <s v="A"/>
    <n v="6"/>
  </r>
  <r>
    <s v="STU111"/>
    <s v="Peter Nwankwo"/>
    <s v="Male"/>
    <x v="2"/>
    <x v="1"/>
    <n v="72"/>
    <n v="83"/>
    <n v="64"/>
    <n v="82"/>
    <n v="98"/>
    <n v="92"/>
    <n v="491"/>
    <n v="81.833333333333329"/>
    <s v="A"/>
    <n v="5"/>
  </r>
  <r>
    <s v="STU112"/>
    <s v="Fatima Garba"/>
    <s v="Female"/>
    <x v="2"/>
    <x v="2"/>
    <n v="80"/>
    <n v="73"/>
    <n v="76"/>
    <n v="83"/>
    <n v="83"/>
    <n v="87"/>
    <n v="482"/>
    <n v="80.333333333333329"/>
    <s v="A"/>
    <n v="7"/>
  </r>
  <r>
    <s v="STU112"/>
    <s v="Fatima Garba"/>
    <s v="Female"/>
    <x v="2"/>
    <x v="0"/>
    <n v="69"/>
    <n v="70"/>
    <n v="75"/>
    <n v="73"/>
    <n v="75"/>
    <n v="85"/>
    <n v="447"/>
    <n v="74.5"/>
    <s v="A"/>
    <n v="5"/>
  </r>
  <r>
    <s v="STU112"/>
    <s v="Fatima Garba"/>
    <s v="Female"/>
    <x v="2"/>
    <x v="1"/>
    <n v="70"/>
    <n v="78"/>
    <n v="93"/>
    <n v="85"/>
    <n v="92"/>
    <n v="89"/>
    <n v="507"/>
    <n v="84.5"/>
    <s v="A"/>
    <n v="3"/>
  </r>
  <r>
    <s v="STU113"/>
    <s v="Kelechi Okonkwo"/>
    <s v="Male"/>
    <x v="2"/>
    <x v="2"/>
    <n v="66"/>
    <n v="64"/>
    <n v="57"/>
    <n v="59"/>
    <n v="73"/>
    <n v="58"/>
    <n v="377"/>
    <n v="62.833333333333336"/>
    <s v="B"/>
    <n v="26"/>
  </r>
  <r>
    <s v="STU113"/>
    <s v="Kelechi Okonkwo"/>
    <s v="Male"/>
    <x v="2"/>
    <x v="0"/>
    <n v="39"/>
    <n v="42"/>
    <n v="47"/>
    <n v="45"/>
    <n v="55"/>
    <n v="50"/>
    <n v="278"/>
    <n v="46.333333333333336"/>
    <s v="D"/>
    <n v="34"/>
  </r>
  <r>
    <s v="STU113"/>
    <s v="Kelechi Okonkwo"/>
    <s v="Male"/>
    <x v="2"/>
    <x v="1"/>
    <n v="44"/>
    <n v="46"/>
    <n v="47"/>
    <n v="56"/>
    <n v="67"/>
    <n v="52"/>
    <n v="312"/>
    <n v="52"/>
    <s v="C"/>
    <n v="35"/>
  </r>
  <r>
    <s v="STU114"/>
    <s v="Ngozi Yakubu"/>
    <s v="Female"/>
    <x v="2"/>
    <x v="0"/>
    <n v="43"/>
    <n v="49"/>
    <n v="49"/>
    <n v="59"/>
    <n v="52"/>
    <n v="59"/>
    <n v="311"/>
    <n v="51.833333333333336"/>
    <s v="C"/>
    <n v="30"/>
  </r>
  <r>
    <s v="STU114"/>
    <s v="Ngozi Yakubu"/>
    <s v="Female"/>
    <x v="2"/>
    <x v="1"/>
    <n v="39"/>
    <n v="54"/>
    <n v="56"/>
    <n v="54"/>
    <n v="60"/>
    <n v="60"/>
    <n v="323"/>
    <n v="53.833333333333336"/>
    <s v="C"/>
    <n v="29"/>
  </r>
  <r>
    <s v="STU114"/>
    <s v="Ngozi Yakubu"/>
    <s v="Female"/>
    <x v="2"/>
    <x v="2"/>
    <n v="46"/>
    <n v="54"/>
    <n v="51"/>
    <n v="44"/>
    <n v="48"/>
    <n v="64"/>
    <n v="307"/>
    <n v="51.166666666666664"/>
    <s v="C"/>
    <n v="34"/>
  </r>
  <r>
    <s v="STU115"/>
    <s v="Amaka Hassan"/>
    <s v="Female"/>
    <x v="2"/>
    <x v="2"/>
    <n v="50"/>
    <n v="44"/>
    <n v="61"/>
    <n v="63"/>
    <n v="57"/>
    <n v="60"/>
    <n v="335"/>
    <n v="55.833333333333336"/>
    <s v="C"/>
    <n v="30"/>
  </r>
  <r>
    <s v="STU115"/>
    <s v="Amaka Hassan"/>
    <s v="Female"/>
    <x v="2"/>
    <x v="0"/>
    <n v="29"/>
    <n v="58"/>
    <n v="38"/>
    <n v="53"/>
    <n v="57"/>
    <n v="52"/>
    <n v="287"/>
    <n v="47.833333333333336"/>
    <s v="D"/>
    <n v="32"/>
  </r>
  <r>
    <s v="STU115"/>
    <s v="Amaka Hassan"/>
    <s v="Female"/>
    <x v="2"/>
    <x v="1"/>
    <n v="54"/>
    <n v="42"/>
    <n v="56"/>
    <n v="55"/>
    <n v="54"/>
    <n v="64"/>
    <n v="325"/>
    <n v="54.166666666666664"/>
    <s v="C"/>
    <n v="28"/>
  </r>
  <r>
    <s v="STU116"/>
    <s v="Chinedu Bello"/>
    <s v="Male"/>
    <x v="2"/>
    <x v="2"/>
    <n v="46"/>
    <n v="68"/>
    <n v="63"/>
    <n v="70"/>
    <n v="72"/>
    <n v="80"/>
    <n v="399"/>
    <n v="66.5"/>
    <s v="B"/>
    <n v="19"/>
  </r>
  <r>
    <s v="STU116"/>
    <s v="Chinedu Bello"/>
    <s v="Male"/>
    <x v="2"/>
    <x v="0"/>
    <n v="65"/>
    <n v="73"/>
    <n v="64"/>
    <n v="56"/>
    <n v="66"/>
    <n v="73"/>
    <n v="397"/>
    <n v="66.166666666666671"/>
    <s v="B"/>
    <n v="15"/>
  </r>
  <r>
    <s v="STU116"/>
    <s v="Chinedu Bello"/>
    <s v="Male"/>
    <x v="2"/>
    <x v="1"/>
    <n v="52"/>
    <n v="56"/>
    <n v="62"/>
    <n v="68"/>
    <n v="71"/>
    <n v="79"/>
    <n v="388"/>
    <n v="64.666666666666671"/>
    <s v="B"/>
    <n v="21"/>
  </r>
  <r>
    <s v="STU117"/>
    <s v="Esther Adebayo"/>
    <s v="Female"/>
    <x v="2"/>
    <x v="2"/>
    <n v="63"/>
    <n v="93"/>
    <n v="73"/>
    <n v="79"/>
    <n v="94"/>
    <n v="81"/>
    <n v="483"/>
    <n v="80.5"/>
    <s v="A"/>
    <n v="6"/>
  </r>
  <r>
    <s v="STU117"/>
    <s v="Esther Adebayo"/>
    <s v="Female"/>
    <x v="2"/>
    <x v="0"/>
    <n v="64"/>
    <n v="66"/>
    <n v="65"/>
    <n v="70"/>
    <n v="70"/>
    <n v="82"/>
    <n v="417"/>
    <n v="69.5"/>
    <s v="B"/>
    <n v="12"/>
  </r>
  <r>
    <s v="STU117"/>
    <s v="Esther Adebayo"/>
    <s v="Female"/>
    <x v="2"/>
    <x v="1"/>
    <n v="55"/>
    <n v="65"/>
    <n v="84"/>
    <n v="82"/>
    <n v="83"/>
    <n v="89"/>
    <n v="458"/>
    <n v="76.333333333333329"/>
    <s v="A"/>
    <n v="9"/>
  </r>
  <r>
    <s v="STU118"/>
    <s v="Ngozi Nnadi"/>
    <s v="Female"/>
    <x v="2"/>
    <x v="2"/>
    <n v="39"/>
    <n v="47"/>
    <n v="52"/>
    <n v="50"/>
    <n v="65"/>
    <n v="66"/>
    <n v="319"/>
    <n v="53.166666666666664"/>
    <s v="C"/>
    <n v="33"/>
  </r>
  <r>
    <s v="STU118"/>
    <s v="Ngozi Nnadi"/>
    <s v="Female"/>
    <x v="2"/>
    <x v="0"/>
    <n v="55"/>
    <n v="67"/>
    <n v="51"/>
    <n v="56"/>
    <n v="66"/>
    <n v="69"/>
    <n v="364"/>
    <n v="60.666666666666664"/>
    <s v="B"/>
    <n v="22"/>
  </r>
  <r>
    <s v="STU118"/>
    <s v="Ngozi Nnadi"/>
    <s v="Female"/>
    <x v="2"/>
    <x v="1"/>
    <n v="51"/>
    <n v="44"/>
    <n v="64"/>
    <n v="62"/>
    <n v="42"/>
    <n v="54"/>
    <n v="317"/>
    <n v="52.833333333333336"/>
    <s v="C"/>
    <n v="33"/>
  </r>
  <r>
    <s v="STU119"/>
    <s v="Bisola Ogundipe"/>
    <s v="Female"/>
    <x v="2"/>
    <x v="2"/>
    <n v="36"/>
    <n v="38"/>
    <n v="31"/>
    <n v="49"/>
    <n v="51"/>
    <n v="54"/>
    <n v="259"/>
    <n v="43.166666666666664"/>
    <s v="E"/>
    <n v="38"/>
  </r>
  <r>
    <s v="STU119"/>
    <s v="Bisola Ogundipe"/>
    <s v="Female"/>
    <x v="2"/>
    <x v="0"/>
    <n v="39"/>
    <n v="37"/>
    <n v="42"/>
    <n v="50"/>
    <n v="56"/>
    <n v="47"/>
    <n v="271"/>
    <n v="45.166666666666664"/>
    <s v="D"/>
    <n v="35"/>
  </r>
  <r>
    <s v="STU119"/>
    <s v="Bisola Ogundipe"/>
    <s v="Female"/>
    <x v="2"/>
    <x v="1"/>
    <n v="39"/>
    <n v="37"/>
    <n v="39"/>
    <n v="55"/>
    <n v="59"/>
    <n v="48"/>
    <n v="277"/>
    <n v="46.166666666666664"/>
    <s v="D"/>
    <n v="38"/>
  </r>
  <r>
    <s v="STU120"/>
    <s v="Wale Abubakar"/>
    <s v="Male"/>
    <x v="2"/>
    <x v="2"/>
    <n v="47"/>
    <n v="40"/>
    <n v="41"/>
    <n v="58"/>
    <n v="51"/>
    <n v="46"/>
    <n v="283"/>
    <n v="47.166666666666664"/>
    <s v="D"/>
    <n v="37"/>
  </r>
  <r>
    <s v="STU120"/>
    <s v="Wale Abubakar"/>
    <s v="Male"/>
    <x v="2"/>
    <x v="0"/>
    <n v="33"/>
    <n v="42"/>
    <n v="38"/>
    <n v="50"/>
    <n v="45"/>
    <n v="55"/>
    <n v="263"/>
    <n v="43.833333333333336"/>
    <s v="E"/>
    <n v="37"/>
  </r>
  <r>
    <s v="STU120"/>
    <s v="Wale Abubakar"/>
    <s v="Male"/>
    <x v="2"/>
    <x v="1"/>
    <n v="45"/>
    <n v="46"/>
    <n v="33"/>
    <n v="50"/>
    <n v="50"/>
    <n v="63"/>
    <n v="287"/>
    <n v="47.833333333333336"/>
    <s v="D"/>
    <n v="36"/>
  </r>
  <r>
    <s v="STU121"/>
    <s v="Titilayo Ogunleye"/>
    <s v="Female"/>
    <x v="3"/>
    <x v="0"/>
    <n v="50"/>
    <n v="56"/>
    <n v="50"/>
    <n v="62"/>
    <n v="56"/>
    <n v="72"/>
    <n v="346"/>
    <n v="57.666666666666664"/>
    <s v="C"/>
    <n v="26"/>
  </r>
  <r>
    <s v="STU121"/>
    <s v="Titilayo Ogunleye"/>
    <s v="Female"/>
    <x v="3"/>
    <x v="1"/>
    <n v="40"/>
    <n v="60"/>
    <n v="58"/>
    <n v="65"/>
    <n v="57"/>
    <n v="57"/>
    <n v="337"/>
    <n v="56.166666666666664"/>
    <s v="C"/>
    <n v="29"/>
  </r>
  <r>
    <s v="STU121"/>
    <s v="Titilayo Ogunleye"/>
    <s v="Female"/>
    <x v="3"/>
    <x v="2"/>
    <n v="61"/>
    <n v="58"/>
    <n v="48"/>
    <n v="63"/>
    <n v="69"/>
    <n v="65"/>
    <n v="364"/>
    <n v="60.666666666666664"/>
    <s v="B"/>
    <n v="25"/>
  </r>
  <r>
    <s v="STU122"/>
    <s v="Michael Afolabi"/>
    <s v="Male"/>
    <x v="3"/>
    <x v="0"/>
    <n v="47"/>
    <n v="65"/>
    <n v="46"/>
    <n v="67"/>
    <n v="69"/>
    <n v="63"/>
    <n v="357"/>
    <n v="59.5"/>
    <s v="C"/>
    <n v="24"/>
  </r>
  <r>
    <s v="STU122"/>
    <s v="Michael Afolabi"/>
    <s v="Male"/>
    <x v="3"/>
    <x v="1"/>
    <n v="52"/>
    <n v="57"/>
    <n v="50"/>
    <n v="53"/>
    <n v="58"/>
    <n v="57"/>
    <n v="327"/>
    <n v="54.5"/>
    <s v="C"/>
    <n v="32"/>
  </r>
  <r>
    <s v="STU122"/>
    <s v="Michael Afolabi"/>
    <s v="Male"/>
    <x v="3"/>
    <x v="2"/>
    <n v="57"/>
    <n v="43"/>
    <n v="63"/>
    <n v="54"/>
    <n v="51"/>
    <n v="55"/>
    <n v="323"/>
    <n v="53.833333333333336"/>
    <s v="C"/>
    <n v="32"/>
  </r>
  <r>
    <s v="STU123"/>
    <s v="Chiamaka Nnadi"/>
    <s v="Female"/>
    <x v="3"/>
    <x v="0"/>
    <n v="35"/>
    <n v="34"/>
    <n v="52"/>
    <n v="50"/>
    <n v="46"/>
    <n v="45"/>
    <n v="262"/>
    <n v="43.666666666666664"/>
    <s v="E"/>
    <n v="39"/>
  </r>
  <r>
    <s v="STU123"/>
    <s v="Chiamaka Nnadi"/>
    <s v="Female"/>
    <x v="3"/>
    <x v="1"/>
    <n v="43"/>
    <n v="44"/>
    <n v="60"/>
    <n v="42"/>
    <n v="50"/>
    <n v="52"/>
    <n v="291"/>
    <n v="48.5"/>
    <s v="D"/>
    <n v="38"/>
  </r>
  <r>
    <s v="STU123"/>
    <s v="Chiamaka Nnadi"/>
    <s v="Female"/>
    <x v="3"/>
    <x v="2"/>
    <n v="54"/>
    <n v="59"/>
    <n v="54"/>
    <n v="59"/>
    <n v="64"/>
    <n v="57"/>
    <n v="347"/>
    <n v="57.833333333333336"/>
    <s v="C"/>
    <n v="29"/>
  </r>
  <r>
    <s v="STU124"/>
    <s v="Dayo Akinola"/>
    <s v="Male"/>
    <x v="3"/>
    <x v="0"/>
    <n v="63"/>
    <n v="57"/>
    <n v="68"/>
    <n v="65"/>
    <n v="78"/>
    <n v="63"/>
    <n v="394"/>
    <n v="65.666666666666671"/>
    <s v="B"/>
    <n v="15"/>
  </r>
  <r>
    <s v="STU124"/>
    <s v="Dayo Akinola"/>
    <s v="Male"/>
    <x v="3"/>
    <x v="1"/>
    <n v="57"/>
    <n v="61"/>
    <n v="71"/>
    <n v="59"/>
    <n v="77"/>
    <n v="76"/>
    <n v="401"/>
    <n v="66.833333333333329"/>
    <s v="B"/>
    <n v="16"/>
  </r>
  <r>
    <s v="STU124"/>
    <s v="Dayo Akinola"/>
    <s v="Male"/>
    <x v="3"/>
    <x v="2"/>
    <n v="65"/>
    <n v="62"/>
    <n v="68"/>
    <n v="82"/>
    <n v="66"/>
    <n v="75"/>
    <n v="418"/>
    <n v="69.666666666666671"/>
    <s v="B"/>
    <n v="12"/>
  </r>
  <r>
    <s v="STU125"/>
    <s v="Aisha Ogbonna"/>
    <s v="Female"/>
    <x v="3"/>
    <x v="0"/>
    <n v="72"/>
    <n v="73"/>
    <n v="72"/>
    <n v="87"/>
    <n v="84"/>
    <n v="69"/>
    <n v="457"/>
    <n v="76.166666666666671"/>
    <s v="A"/>
    <n v="4"/>
  </r>
  <r>
    <s v="STU125"/>
    <s v="Aisha Ogbonna"/>
    <s v="Female"/>
    <x v="3"/>
    <x v="1"/>
    <n v="75"/>
    <n v="75"/>
    <n v="82"/>
    <n v="76"/>
    <n v="98"/>
    <n v="77"/>
    <n v="483"/>
    <n v="80.5"/>
    <s v="A"/>
    <n v="3"/>
  </r>
  <r>
    <s v="STU125"/>
    <s v="Aisha Ogbonna"/>
    <s v="Female"/>
    <x v="3"/>
    <x v="2"/>
    <n v="74"/>
    <n v="68"/>
    <n v="74"/>
    <n v="70"/>
    <n v="88"/>
    <n v="81"/>
    <n v="455"/>
    <n v="75.833333333333329"/>
    <s v="A"/>
    <n v="8"/>
  </r>
  <r>
    <s v="STU126"/>
    <s v="Seun Johnson"/>
    <s v="Male"/>
    <x v="3"/>
    <x v="0"/>
    <n v="59"/>
    <n v="54"/>
    <n v="41"/>
    <n v="51"/>
    <n v="56"/>
    <n v="70"/>
    <n v="331"/>
    <n v="55.166666666666664"/>
    <s v="C"/>
    <n v="29"/>
  </r>
  <r>
    <s v="STU126"/>
    <s v="Seun Johnson"/>
    <s v="Male"/>
    <x v="3"/>
    <x v="1"/>
    <n v="69"/>
    <n v="55"/>
    <n v="56"/>
    <n v="67"/>
    <n v="52"/>
    <n v="59"/>
    <n v="358"/>
    <n v="59.666666666666664"/>
    <s v="C"/>
    <n v="25"/>
  </r>
  <r>
    <s v="STU126"/>
    <s v="Seun Johnson"/>
    <s v="Male"/>
    <x v="3"/>
    <x v="2"/>
    <n v="55"/>
    <n v="59"/>
    <n v="54"/>
    <n v="53"/>
    <n v="61"/>
    <n v="68"/>
    <n v="350"/>
    <n v="58.333333333333336"/>
    <s v="C"/>
    <n v="28"/>
  </r>
  <r>
    <s v="STU127"/>
    <s v="Joy Bello"/>
    <s v="Female"/>
    <x v="3"/>
    <x v="0"/>
    <n v="14"/>
    <n v="26"/>
    <n v="38"/>
    <n v="31"/>
    <n v="33"/>
    <n v="24"/>
    <n v="166"/>
    <n v="27.666666666666668"/>
    <s v="F"/>
    <n v="40"/>
  </r>
  <r>
    <s v="STU127"/>
    <s v="Joy Bello"/>
    <s v="Female"/>
    <x v="3"/>
    <x v="1"/>
    <n v="24"/>
    <n v="32"/>
    <n v="26"/>
    <n v="28"/>
    <n v="27"/>
    <n v="38"/>
    <n v="175"/>
    <n v="29.166666666666668"/>
    <s v="F"/>
    <n v="40"/>
  </r>
  <r>
    <s v="STU127"/>
    <s v="Joy Bello"/>
    <s v="Female"/>
    <x v="3"/>
    <x v="2"/>
    <n v="42"/>
    <n v="47"/>
    <n v="45"/>
    <n v="52"/>
    <n v="41"/>
    <n v="44"/>
    <n v="271"/>
    <n v="45.166666666666664"/>
    <s v="D"/>
    <n v="40"/>
  </r>
  <r>
    <s v="STU128"/>
    <s v="Adesua Aliyu"/>
    <s v="Female"/>
    <x v="3"/>
    <x v="0"/>
    <n v="55"/>
    <n v="57"/>
    <n v="63"/>
    <n v="61"/>
    <n v="75"/>
    <n v="63"/>
    <n v="374"/>
    <n v="62.333333333333336"/>
    <s v="B"/>
    <n v="20"/>
  </r>
  <r>
    <s v="STU128"/>
    <s v="Adesua Aliyu"/>
    <s v="Female"/>
    <x v="3"/>
    <x v="1"/>
    <n v="59"/>
    <n v="73"/>
    <n v="51"/>
    <n v="60"/>
    <n v="60"/>
    <n v="60"/>
    <n v="363"/>
    <n v="60.5"/>
    <s v="B"/>
    <n v="24"/>
  </r>
  <r>
    <s v="STU128"/>
    <s v="Adesua Aliyu"/>
    <s v="Female"/>
    <x v="3"/>
    <x v="2"/>
    <n v="55"/>
    <n v="63"/>
    <n v="52"/>
    <n v="59"/>
    <n v="65"/>
    <n v="68"/>
    <n v="362"/>
    <n v="60.333333333333336"/>
    <s v="B"/>
    <n v="27"/>
  </r>
  <r>
    <s v="STU129"/>
    <s v="Dare Musa"/>
    <s v="Male"/>
    <x v="3"/>
    <x v="2"/>
    <n v="88"/>
    <n v="98"/>
    <n v="91"/>
    <n v="94"/>
    <n v="95"/>
    <n v="95"/>
    <n v="561"/>
    <n v="93.5"/>
    <s v="A"/>
    <n v="2"/>
  </r>
  <r>
    <s v="STU129"/>
    <s v="Dare Musa"/>
    <s v="Male"/>
    <x v="3"/>
    <x v="0"/>
    <n v="69"/>
    <n v="98"/>
    <n v="79"/>
    <n v="87"/>
    <n v="83"/>
    <n v="87"/>
    <n v="503"/>
    <n v="83.833333333333329"/>
    <s v="A"/>
    <n v="2"/>
  </r>
  <r>
    <s v="STU129"/>
    <s v="Dare Musa"/>
    <s v="Male"/>
    <x v="3"/>
    <x v="1"/>
    <n v="75"/>
    <n v="98"/>
    <n v="72"/>
    <n v="89"/>
    <n v="96"/>
    <n v="82"/>
    <n v="512"/>
    <n v="85.333333333333329"/>
    <s v="A"/>
    <n v="2"/>
  </r>
  <r>
    <s v="STU130"/>
    <s v="Segun Uzor"/>
    <s v="Male"/>
    <x v="3"/>
    <x v="0"/>
    <n v="62"/>
    <n v="58"/>
    <n v="64"/>
    <n v="64"/>
    <n v="64"/>
    <n v="62"/>
    <n v="374"/>
    <n v="62.333333333333336"/>
    <s v="B"/>
    <n v="20"/>
  </r>
  <r>
    <s v="STU130"/>
    <s v="Segun Uzor"/>
    <s v="Male"/>
    <x v="3"/>
    <x v="1"/>
    <n v="62"/>
    <n v="59"/>
    <n v="69"/>
    <n v="66"/>
    <n v="68"/>
    <n v="62"/>
    <n v="386"/>
    <n v="64.333333333333329"/>
    <s v="B"/>
    <n v="20"/>
  </r>
  <r>
    <s v="STU130"/>
    <s v="Segun Uzor"/>
    <s v="Male"/>
    <x v="3"/>
    <x v="2"/>
    <n v="50"/>
    <n v="67"/>
    <n v="61"/>
    <n v="67"/>
    <n v="72"/>
    <n v="73"/>
    <n v="390"/>
    <n v="65"/>
    <s v="B"/>
    <n v="19"/>
  </r>
  <r>
    <s v="STU131"/>
    <s v="Chiamaka Balogun"/>
    <s v="Female"/>
    <x v="3"/>
    <x v="0"/>
    <n v="51"/>
    <n v="80"/>
    <n v="80"/>
    <n v="66"/>
    <n v="54"/>
    <n v="60"/>
    <n v="391"/>
    <n v="65.166666666666671"/>
    <s v="B"/>
    <n v="16"/>
  </r>
  <r>
    <s v="STU131"/>
    <s v="Chiamaka Balogun"/>
    <s v="Female"/>
    <x v="3"/>
    <x v="1"/>
    <n v="55"/>
    <n v="52"/>
    <n v="54"/>
    <n v="45"/>
    <n v="63"/>
    <n v="71"/>
    <n v="340"/>
    <n v="56.666666666666664"/>
    <s v="C"/>
    <n v="28"/>
  </r>
  <r>
    <s v="STU131"/>
    <s v="Chiamaka Balogun"/>
    <s v="Female"/>
    <x v="3"/>
    <x v="2"/>
    <n v="39"/>
    <n v="51"/>
    <n v="49"/>
    <n v="39"/>
    <n v="54"/>
    <n v="55"/>
    <n v="287"/>
    <n v="47.833333333333336"/>
    <s v="D"/>
    <n v="36"/>
  </r>
  <r>
    <s v="STU132"/>
    <s v="Ifeanyi Ogunleye"/>
    <s v="Male"/>
    <x v="3"/>
    <x v="0"/>
    <n v="52"/>
    <n v="62"/>
    <n v="68"/>
    <n v="73"/>
    <n v="74"/>
    <n v="70"/>
    <n v="399"/>
    <n v="66.5"/>
    <s v="B"/>
    <n v="12"/>
  </r>
  <r>
    <s v="STU132"/>
    <s v="Ifeanyi Ogunleye"/>
    <s v="Male"/>
    <x v="3"/>
    <x v="1"/>
    <n v="57"/>
    <n v="70"/>
    <n v="64"/>
    <n v="79"/>
    <n v="81"/>
    <n v="71"/>
    <n v="422"/>
    <n v="70.333333333333329"/>
    <s v="A"/>
    <n v="11"/>
  </r>
  <r>
    <s v="STU132"/>
    <s v="Ifeanyi Ogunleye"/>
    <s v="Male"/>
    <x v="3"/>
    <x v="2"/>
    <n v="52"/>
    <n v="71"/>
    <n v="63"/>
    <n v="78"/>
    <n v="78"/>
    <n v="68"/>
    <n v="410"/>
    <n v="68.333333333333329"/>
    <s v="B"/>
    <n v="16"/>
  </r>
  <r>
    <s v="STU133"/>
    <s v="Ifeanyi Ogundipe"/>
    <s v="Male"/>
    <x v="3"/>
    <x v="2"/>
    <n v="63"/>
    <n v="70"/>
    <n v="69"/>
    <n v="72"/>
    <n v="77"/>
    <n v="75"/>
    <n v="426"/>
    <n v="71"/>
    <s v="A"/>
    <n v="11"/>
  </r>
  <r>
    <s v="STU133"/>
    <s v="Ifeanyi Ogundipe"/>
    <s v="Male"/>
    <x v="3"/>
    <x v="0"/>
    <n v="61"/>
    <n v="70"/>
    <n v="61"/>
    <n v="67"/>
    <n v="60"/>
    <n v="60"/>
    <n v="379"/>
    <n v="63.166666666666664"/>
    <s v="B"/>
    <n v="18"/>
  </r>
  <r>
    <s v="STU133"/>
    <s v="Ifeanyi Ogundipe"/>
    <s v="Male"/>
    <x v="3"/>
    <x v="1"/>
    <n v="69"/>
    <n v="68"/>
    <n v="64"/>
    <n v="69"/>
    <n v="76"/>
    <n v="71"/>
    <n v="417"/>
    <n v="69.5"/>
    <s v="B"/>
    <n v="12"/>
  </r>
  <r>
    <s v="STU134"/>
    <s v="Nnamdi Obi"/>
    <s v="Male"/>
    <x v="3"/>
    <x v="0"/>
    <n v="53"/>
    <n v="76"/>
    <n v="60"/>
    <n v="77"/>
    <n v="59"/>
    <n v="73"/>
    <n v="398"/>
    <n v="66.333333333333329"/>
    <s v="B"/>
    <n v="14"/>
  </r>
  <r>
    <s v="STU134"/>
    <s v="Nnamdi Obi"/>
    <s v="Male"/>
    <x v="3"/>
    <x v="1"/>
    <n v="59"/>
    <n v="77"/>
    <n v="60"/>
    <n v="80"/>
    <n v="65"/>
    <n v="71"/>
    <n v="412"/>
    <n v="68.666666666666671"/>
    <s v="B"/>
    <n v="13"/>
  </r>
  <r>
    <s v="STU134"/>
    <s v="Nnamdi Obi"/>
    <s v="Male"/>
    <x v="3"/>
    <x v="2"/>
    <n v="54"/>
    <n v="68"/>
    <n v="64"/>
    <n v="63"/>
    <n v="59"/>
    <n v="80"/>
    <n v="388"/>
    <n v="64.666666666666671"/>
    <s v="B"/>
    <n v="20"/>
  </r>
  <r>
    <s v="STU135"/>
    <s v="Yetunde Okonkwo"/>
    <s v="Female"/>
    <x v="3"/>
    <x v="0"/>
    <n v="59"/>
    <n v="57"/>
    <n v="59"/>
    <n v="60"/>
    <n v="65"/>
    <n v="70"/>
    <n v="370"/>
    <n v="61.666666666666664"/>
    <s v="B"/>
    <n v="22"/>
  </r>
  <r>
    <s v="STU135"/>
    <s v="Yetunde Okonkwo"/>
    <s v="Female"/>
    <x v="3"/>
    <x v="1"/>
    <n v="58"/>
    <n v="58"/>
    <n v="58"/>
    <n v="68"/>
    <n v="61"/>
    <n v="63"/>
    <n v="366"/>
    <n v="61"/>
    <s v="B"/>
    <n v="23"/>
  </r>
  <r>
    <s v="STU135"/>
    <s v="Yetunde Okonkwo"/>
    <s v="Female"/>
    <x v="3"/>
    <x v="2"/>
    <n v="55"/>
    <n v="64"/>
    <n v="56"/>
    <n v="69"/>
    <n v="64"/>
    <n v="62"/>
    <n v="370"/>
    <n v="61.666666666666664"/>
    <s v="B"/>
    <n v="24"/>
  </r>
  <r>
    <s v="STU136"/>
    <s v="Sade Hassan"/>
    <s v="Female"/>
    <x v="3"/>
    <x v="2"/>
    <n v="76"/>
    <n v="87"/>
    <n v="81"/>
    <n v="86"/>
    <n v="83"/>
    <n v="90"/>
    <n v="503"/>
    <n v="83.833333333333329"/>
    <s v="A"/>
    <n v="4"/>
  </r>
  <r>
    <s v="STU136"/>
    <s v="Sade Hassan"/>
    <s v="Female"/>
    <x v="3"/>
    <x v="0"/>
    <n v="63"/>
    <n v="58"/>
    <n v="54"/>
    <n v="74"/>
    <n v="60"/>
    <n v="69"/>
    <n v="378"/>
    <n v="63"/>
    <s v="B"/>
    <n v="19"/>
  </r>
  <r>
    <s v="STU136"/>
    <s v="Sade Hassan"/>
    <s v="Female"/>
    <x v="3"/>
    <x v="1"/>
    <n v="77"/>
    <n v="78"/>
    <n v="68"/>
    <n v="79"/>
    <n v="70"/>
    <n v="74"/>
    <n v="446"/>
    <n v="74.333333333333329"/>
    <s v="A"/>
    <n v="6"/>
  </r>
  <r>
    <s v="STU137"/>
    <s v="Wuraola Eke"/>
    <s v="Female"/>
    <x v="3"/>
    <x v="2"/>
    <n v="67"/>
    <n v="78"/>
    <n v="78"/>
    <n v="80"/>
    <n v="75"/>
    <n v="94"/>
    <n v="472"/>
    <n v="78.666666666666671"/>
    <s v="A"/>
    <n v="6"/>
  </r>
  <r>
    <s v="STU137"/>
    <s v="Wuraola Eke"/>
    <s v="Female"/>
    <x v="3"/>
    <x v="0"/>
    <n v="67"/>
    <n v="75"/>
    <n v="68"/>
    <n v="71"/>
    <n v="74"/>
    <n v="77"/>
    <n v="432"/>
    <n v="72"/>
    <s v="A"/>
    <n v="8"/>
  </r>
  <r>
    <s v="STU137"/>
    <s v="Wuraola Eke"/>
    <s v="Female"/>
    <x v="3"/>
    <x v="1"/>
    <n v="63"/>
    <n v="70"/>
    <n v="66"/>
    <n v="71"/>
    <n v="90"/>
    <n v="84"/>
    <n v="444"/>
    <n v="74"/>
    <s v="A"/>
    <n v="7"/>
  </r>
  <r>
    <s v="STU138"/>
    <s v="Seun Obi"/>
    <s v="Male"/>
    <x v="3"/>
    <x v="0"/>
    <n v="34"/>
    <n v="54"/>
    <n v="46"/>
    <n v="45"/>
    <n v="51"/>
    <n v="41"/>
    <n v="271"/>
    <n v="45.166666666666664"/>
    <s v="D"/>
    <n v="37"/>
  </r>
  <r>
    <s v="STU138"/>
    <s v="Seun Obi"/>
    <s v="Male"/>
    <x v="3"/>
    <x v="1"/>
    <n v="43"/>
    <n v="52"/>
    <n v="41"/>
    <n v="52"/>
    <n v="33"/>
    <n v="49"/>
    <n v="270"/>
    <n v="45"/>
    <s v="D"/>
    <n v="39"/>
  </r>
  <r>
    <s v="STU138"/>
    <s v="Seun Obi"/>
    <s v="Male"/>
    <x v="3"/>
    <x v="2"/>
    <n v="31"/>
    <n v="52"/>
    <n v="45"/>
    <n v="49"/>
    <n v="49"/>
    <n v="50"/>
    <n v="276"/>
    <n v="46"/>
    <s v="D"/>
    <n v="38"/>
  </r>
  <r>
    <s v="STU139"/>
    <s v="Khadija Okafor"/>
    <s v="Female"/>
    <x v="3"/>
    <x v="0"/>
    <n v="41"/>
    <n v="34"/>
    <n v="46"/>
    <n v="49"/>
    <n v="52"/>
    <n v="45"/>
    <n v="267"/>
    <n v="44.5"/>
    <s v="E"/>
    <n v="38"/>
  </r>
  <r>
    <s v="STU139"/>
    <s v="Khadija Okafor"/>
    <s v="Female"/>
    <x v="3"/>
    <x v="1"/>
    <n v="49"/>
    <n v="55"/>
    <n v="49"/>
    <n v="58"/>
    <n v="48"/>
    <n v="53"/>
    <n v="312"/>
    <n v="52"/>
    <s v="C"/>
    <n v="35"/>
  </r>
  <r>
    <s v="STU139"/>
    <s v="Khadija Okafor"/>
    <s v="Female"/>
    <x v="3"/>
    <x v="2"/>
    <n v="57"/>
    <n v="68"/>
    <n v="40"/>
    <n v="63"/>
    <n v="49"/>
    <n v="61"/>
    <n v="338"/>
    <n v="56.333333333333336"/>
    <s v="C"/>
    <n v="30"/>
  </r>
  <r>
    <s v="STU140"/>
    <s v="Dayo Mohammed"/>
    <s v="Male"/>
    <x v="3"/>
    <x v="0"/>
    <n v="45"/>
    <n v="57"/>
    <n v="51"/>
    <n v="61"/>
    <n v="64"/>
    <n v="59"/>
    <n v="337"/>
    <n v="56.166666666666664"/>
    <s v="C"/>
    <n v="28"/>
  </r>
  <r>
    <s v="STU140"/>
    <s v="Dayo Mohammed"/>
    <s v="Male"/>
    <x v="3"/>
    <x v="1"/>
    <n v="61"/>
    <n v="60"/>
    <n v="65"/>
    <n v="74"/>
    <n v="68"/>
    <n v="70"/>
    <n v="398"/>
    <n v="66.333333333333329"/>
    <s v="B"/>
    <n v="17"/>
  </r>
  <r>
    <s v="STU140"/>
    <s v="Dayo Mohammed"/>
    <s v="Male"/>
    <x v="3"/>
    <x v="2"/>
    <n v="51"/>
    <n v="64"/>
    <n v="63"/>
    <n v="71"/>
    <n v="63"/>
    <n v="66"/>
    <n v="378"/>
    <n v="63"/>
    <s v="B"/>
    <n v="22"/>
  </r>
  <r>
    <s v="STU141"/>
    <s v="Funmilayo Ogbonna"/>
    <s v="Female"/>
    <x v="3"/>
    <x v="0"/>
    <n v="43"/>
    <n v="51"/>
    <n v="54"/>
    <n v="62"/>
    <n v="57"/>
    <n v="53"/>
    <n v="320"/>
    <n v="53.333333333333336"/>
    <s v="C"/>
    <n v="31"/>
  </r>
  <r>
    <s v="STU141"/>
    <s v="Funmilayo Ogbonna"/>
    <s v="Female"/>
    <x v="3"/>
    <x v="1"/>
    <n v="48"/>
    <n v="44"/>
    <n v="49"/>
    <n v="65"/>
    <n v="64"/>
    <n v="53"/>
    <n v="323"/>
    <n v="53.833333333333336"/>
    <s v="C"/>
    <n v="34"/>
  </r>
  <r>
    <s v="STU141"/>
    <s v="Funmilayo Ogbonna"/>
    <s v="Female"/>
    <x v="3"/>
    <x v="2"/>
    <n v="51"/>
    <n v="47"/>
    <n v="44"/>
    <n v="42"/>
    <n v="58"/>
    <n v="58"/>
    <n v="300"/>
    <n v="50"/>
    <s v="C"/>
    <n v="34"/>
  </r>
  <r>
    <s v="STU142"/>
    <s v="Kemi Ibrahim"/>
    <s v="Female"/>
    <x v="3"/>
    <x v="2"/>
    <n v="69"/>
    <n v="71"/>
    <n v="79"/>
    <n v="79"/>
    <n v="65"/>
    <n v="85"/>
    <n v="448"/>
    <n v="74.666666666666671"/>
    <s v="A"/>
    <n v="9"/>
  </r>
  <r>
    <s v="STU142"/>
    <s v="Kemi Ibrahim"/>
    <s v="Female"/>
    <x v="3"/>
    <x v="0"/>
    <n v="61"/>
    <n v="65"/>
    <n v="56"/>
    <n v="69"/>
    <n v="77"/>
    <n v="82"/>
    <n v="410"/>
    <n v="68.333333333333329"/>
    <s v="B"/>
    <n v="9"/>
  </r>
  <r>
    <s v="STU142"/>
    <s v="Kemi Ibrahim"/>
    <s v="Female"/>
    <x v="3"/>
    <x v="1"/>
    <n v="64"/>
    <n v="67"/>
    <n v="66"/>
    <n v="68"/>
    <n v="65"/>
    <n v="82"/>
    <n v="412"/>
    <n v="68.666666666666671"/>
    <s v="B"/>
    <n v="13"/>
  </r>
  <r>
    <s v="STU143"/>
    <s v="Tunde Okafor"/>
    <s v="Male"/>
    <x v="3"/>
    <x v="2"/>
    <n v="81"/>
    <n v="57"/>
    <n v="64"/>
    <n v="64"/>
    <n v="64"/>
    <n v="66"/>
    <n v="396"/>
    <n v="66"/>
    <s v="B"/>
    <n v="18"/>
  </r>
  <r>
    <s v="STU143"/>
    <s v="Tunde Okafor"/>
    <s v="Male"/>
    <x v="3"/>
    <x v="0"/>
    <n v="50"/>
    <n v="50"/>
    <n v="59"/>
    <n v="60"/>
    <n v="58"/>
    <n v="76"/>
    <n v="353"/>
    <n v="58.833333333333336"/>
    <s v="C"/>
    <n v="25"/>
  </r>
  <r>
    <s v="STU143"/>
    <s v="Tunde Okafor"/>
    <s v="Male"/>
    <x v="3"/>
    <x v="1"/>
    <n v="56"/>
    <n v="62"/>
    <n v="58"/>
    <n v="62"/>
    <n v="67"/>
    <n v="66"/>
    <n v="371"/>
    <n v="61.833333333333336"/>
    <s v="B"/>
    <n v="22"/>
  </r>
  <r>
    <s v="STU144"/>
    <s v="Ugochukwu Adeyemi"/>
    <s v="Male"/>
    <x v="3"/>
    <x v="2"/>
    <n v="62"/>
    <n v="68"/>
    <n v="60"/>
    <n v="75"/>
    <n v="78"/>
    <n v="74"/>
    <n v="417"/>
    <n v="69.5"/>
    <s v="B"/>
    <n v="13"/>
  </r>
  <r>
    <s v="STU144"/>
    <s v="Ugochukwu Adeyemi"/>
    <s v="Male"/>
    <x v="3"/>
    <x v="0"/>
    <n v="53"/>
    <n v="65"/>
    <n v="65"/>
    <n v="67"/>
    <n v="60"/>
    <n v="78"/>
    <n v="388"/>
    <n v="64.666666666666671"/>
    <s v="B"/>
    <n v="17"/>
  </r>
  <r>
    <s v="STU144"/>
    <s v="Ugochukwu Adeyemi"/>
    <s v="Male"/>
    <x v="3"/>
    <x v="1"/>
    <n v="68"/>
    <n v="74"/>
    <n v="56"/>
    <n v="69"/>
    <n v="70"/>
    <n v="71"/>
    <n v="408"/>
    <n v="68"/>
    <s v="B"/>
    <n v="15"/>
  </r>
  <r>
    <s v="STU145"/>
    <s v="Uchenna Johnson"/>
    <s v="Male"/>
    <x v="3"/>
    <x v="0"/>
    <n v="39"/>
    <n v="48"/>
    <n v="52"/>
    <n v="47"/>
    <n v="54"/>
    <n v="46"/>
    <n v="286"/>
    <n v="47.666666666666664"/>
    <s v="D"/>
    <n v="36"/>
  </r>
  <r>
    <s v="STU145"/>
    <s v="Uchenna Johnson"/>
    <s v="Male"/>
    <x v="3"/>
    <x v="1"/>
    <n v="44"/>
    <n v="38"/>
    <n v="37"/>
    <n v="65"/>
    <n v="52"/>
    <n v="61"/>
    <n v="297"/>
    <n v="49.5"/>
    <s v="D"/>
    <n v="36"/>
  </r>
  <r>
    <s v="STU145"/>
    <s v="Uchenna Johnson"/>
    <s v="Male"/>
    <x v="3"/>
    <x v="2"/>
    <n v="25"/>
    <n v="48"/>
    <n v="46"/>
    <n v="49"/>
    <n v="55"/>
    <n v="50"/>
    <n v="273"/>
    <n v="45.5"/>
    <s v="D"/>
    <n v="39"/>
  </r>
  <r>
    <s v="STU146"/>
    <s v="Damilola Amadi"/>
    <s v="Female"/>
    <x v="3"/>
    <x v="0"/>
    <n v="59"/>
    <n v="61"/>
    <n v="46"/>
    <n v="63"/>
    <n v="62"/>
    <n v="74"/>
    <n v="365"/>
    <n v="60.833333333333336"/>
    <s v="B"/>
    <n v="23"/>
  </r>
  <r>
    <s v="STU146"/>
    <s v="Damilola Amadi"/>
    <s v="Female"/>
    <x v="3"/>
    <x v="1"/>
    <n v="59"/>
    <n v="50"/>
    <n v="51"/>
    <n v="68"/>
    <n v="53"/>
    <n v="68"/>
    <n v="349"/>
    <n v="58.166666666666664"/>
    <s v="C"/>
    <n v="27"/>
  </r>
  <r>
    <s v="STU146"/>
    <s v="Damilola Amadi"/>
    <s v="Female"/>
    <x v="3"/>
    <x v="2"/>
    <n v="49"/>
    <n v="63"/>
    <n v="62"/>
    <n v="65"/>
    <n v="59"/>
    <n v="66"/>
    <n v="364"/>
    <n v="60.666666666666664"/>
    <s v="B"/>
    <n v="25"/>
  </r>
  <r>
    <s v="STU147"/>
    <s v="Garba Lawal"/>
    <s v="Male"/>
    <x v="3"/>
    <x v="2"/>
    <n v="62"/>
    <n v="62"/>
    <n v="70"/>
    <n v="74"/>
    <n v="77"/>
    <n v="64"/>
    <n v="409"/>
    <n v="68.166666666666671"/>
    <s v="B"/>
    <n v="17"/>
  </r>
  <r>
    <s v="STU147"/>
    <s v="Garba Lawal"/>
    <s v="Male"/>
    <x v="3"/>
    <x v="0"/>
    <n v="67"/>
    <n v="63"/>
    <n v="66"/>
    <n v="79"/>
    <n v="82"/>
    <n v="81"/>
    <n v="438"/>
    <n v="73"/>
    <s v="A"/>
    <n v="7"/>
  </r>
  <r>
    <s v="STU147"/>
    <s v="Garba Lawal"/>
    <s v="Male"/>
    <x v="3"/>
    <x v="1"/>
    <n v="59"/>
    <n v="65"/>
    <n v="61"/>
    <n v="63"/>
    <n v="67"/>
    <n v="60"/>
    <n v="375"/>
    <n v="62.5"/>
    <s v="B"/>
    <n v="21"/>
  </r>
  <r>
    <s v="STU148"/>
    <s v="Femi Oladipo"/>
    <s v="Male"/>
    <x v="3"/>
    <x v="2"/>
    <n v="53"/>
    <n v="76"/>
    <n v="59"/>
    <n v="59"/>
    <n v="60"/>
    <n v="64"/>
    <n v="371"/>
    <n v="61.833333333333336"/>
    <s v="B"/>
    <n v="23"/>
  </r>
  <r>
    <s v="STU148"/>
    <s v="Femi Oladipo"/>
    <s v="Male"/>
    <x v="3"/>
    <x v="0"/>
    <n v="50"/>
    <n v="52"/>
    <n v="45"/>
    <n v="56"/>
    <n v="56"/>
    <n v="71"/>
    <n v="330"/>
    <n v="55"/>
    <s v="C"/>
    <n v="30"/>
  </r>
  <r>
    <s v="STU148"/>
    <s v="Femi Oladipo"/>
    <s v="Male"/>
    <x v="3"/>
    <x v="1"/>
    <n v="33"/>
    <n v="62"/>
    <n v="55"/>
    <n v="58"/>
    <n v="60"/>
    <n v="68"/>
    <n v="336"/>
    <n v="56"/>
    <s v="C"/>
    <n v="30"/>
  </r>
  <r>
    <s v="STU149"/>
    <s v="Ifeanyi Ibrahim"/>
    <s v="Male"/>
    <x v="3"/>
    <x v="2"/>
    <n v="59"/>
    <n v="77"/>
    <n v="85"/>
    <n v="78"/>
    <n v="90"/>
    <n v="81"/>
    <n v="470"/>
    <n v="78.333333333333329"/>
    <s v="A"/>
    <n v="7"/>
  </r>
  <r>
    <s v="STU149"/>
    <s v="Ifeanyi Ibrahim"/>
    <s v="Male"/>
    <x v="3"/>
    <x v="0"/>
    <n v="69"/>
    <n v="67"/>
    <n v="71"/>
    <n v="58"/>
    <n v="64"/>
    <n v="70"/>
    <n v="399"/>
    <n v="66.5"/>
    <s v="B"/>
    <n v="12"/>
  </r>
  <r>
    <s v="STU149"/>
    <s v="Ifeanyi Ibrahim"/>
    <s v="Male"/>
    <x v="3"/>
    <x v="1"/>
    <n v="61"/>
    <n v="73"/>
    <n v="74"/>
    <n v="69"/>
    <n v="52"/>
    <n v="68"/>
    <n v="397"/>
    <n v="66.166666666666671"/>
    <s v="B"/>
    <n v="18"/>
  </r>
  <r>
    <s v="STU150"/>
    <s v="Comfort Kalu"/>
    <s v="Female"/>
    <x v="3"/>
    <x v="0"/>
    <n v="49"/>
    <n v="49"/>
    <n v="50"/>
    <n v="44"/>
    <n v="49"/>
    <n v="64"/>
    <n v="305"/>
    <n v="50.833333333333336"/>
    <s v="C"/>
    <n v="33"/>
  </r>
  <r>
    <s v="STU150"/>
    <s v="Comfort Kalu"/>
    <s v="Female"/>
    <x v="3"/>
    <x v="1"/>
    <n v="52"/>
    <n v="42"/>
    <n v="57"/>
    <n v="63"/>
    <n v="53"/>
    <n v="59"/>
    <n v="326"/>
    <n v="54.333333333333336"/>
    <s v="C"/>
    <n v="33"/>
  </r>
  <r>
    <s v="STU150"/>
    <s v="Comfort Kalu"/>
    <s v="Female"/>
    <x v="3"/>
    <x v="2"/>
    <n v="45"/>
    <n v="57"/>
    <n v="54"/>
    <n v="55"/>
    <n v="59"/>
    <n v="57"/>
    <n v="327"/>
    <n v="54.5"/>
    <s v="C"/>
    <n v="31"/>
  </r>
  <r>
    <s v="STU151"/>
    <s v="Ifeoma Ogunleye"/>
    <s v="Female"/>
    <x v="3"/>
    <x v="2"/>
    <n v="70"/>
    <n v="82"/>
    <n v="80"/>
    <n v="77"/>
    <n v="85"/>
    <n v="81"/>
    <n v="475"/>
    <n v="79.166666666666671"/>
    <s v="A"/>
    <n v="5"/>
  </r>
  <r>
    <s v="STU151"/>
    <s v="Ifeoma Ogunleye"/>
    <s v="Female"/>
    <x v="3"/>
    <x v="0"/>
    <n v="82"/>
    <n v="79"/>
    <n v="84"/>
    <n v="88"/>
    <n v="82"/>
    <n v="86"/>
    <n v="501"/>
    <n v="83.5"/>
    <s v="A"/>
    <n v="3"/>
  </r>
  <r>
    <s v="STU151"/>
    <s v="Ifeoma Ogunleye"/>
    <s v="Female"/>
    <x v="3"/>
    <x v="1"/>
    <n v="76"/>
    <n v="90"/>
    <n v="74"/>
    <n v="82"/>
    <n v="83"/>
    <n v="74"/>
    <n v="479"/>
    <n v="79.833333333333329"/>
    <s v="A"/>
    <n v="4"/>
  </r>
  <r>
    <s v="STU152"/>
    <s v="Oluwaseun Lawal"/>
    <s v="Female"/>
    <x v="3"/>
    <x v="0"/>
    <n v="45"/>
    <n v="55"/>
    <n v="42"/>
    <n v="55"/>
    <n v="41"/>
    <n v="61"/>
    <n v="299"/>
    <n v="49.833333333333336"/>
    <s v="D"/>
    <n v="34"/>
  </r>
  <r>
    <s v="STU152"/>
    <s v="Oluwaseun Lawal"/>
    <s v="Female"/>
    <x v="3"/>
    <x v="1"/>
    <n v="31"/>
    <n v="47"/>
    <n v="44"/>
    <n v="56"/>
    <n v="64"/>
    <n v="52"/>
    <n v="294"/>
    <n v="49"/>
    <s v="D"/>
    <n v="37"/>
  </r>
  <r>
    <s v="STU152"/>
    <s v="Oluwaseun Lawal"/>
    <s v="Female"/>
    <x v="3"/>
    <x v="2"/>
    <n v="40"/>
    <n v="39"/>
    <n v="48"/>
    <n v="56"/>
    <n v="59"/>
    <n v="45"/>
    <n v="287"/>
    <n v="47.833333333333336"/>
    <s v="D"/>
    <n v="36"/>
  </r>
  <r>
    <s v="STU153"/>
    <s v="Ifeanyi Adewale"/>
    <s v="Male"/>
    <x v="3"/>
    <x v="2"/>
    <n v="54"/>
    <n v="72"/>
    <n v="74"/>
    <n v="64"/>
    <n v="68"/>
    <n v="85"/>
    <n v="417"/>
    <n v="69.5"/>
    <s v="B"/>
    <n v="13"/>
  </r>
  <r>
    <s v="STU153"/>
    <s v="Ifeanyi Adewale"/>
    <s v="Male"/>
    <x v="3"/>
    <x v="0"/>
    <n v="43"/>
    <n v="61"/>
    <n v="60"/>
    <n v="44"/>
    <n v="53"/>
    <n v="46"/>
    <n v="307"/>
    <n v="51.166666666666664"/>
    <s v="C"/>
    <n v="32"/>
  </r>
  <r>
    <s v="STU153"/>
    <s v="Ifeanyi Adewale"/>
    <s v="Male"/>
    <x v="3"/>
    <x v="1"/>
    <n v="55"/>
    <n v="64"/>
    <n v="63"/>
    <n v="69"/>
    <n v="71"/>
    <n v="68"/>
    <n v="390"/>
    <n v="65"/>
    <s v="B"/>
    <n v="19"/>
  </r>
  <r>
    <s v="STU154"/>
    <s v="Femi Ekpo"/>
    <s v="Male"/>
    <x v="3"/>
    <x v="2"/>
    <n v="39"/>
    <n v="64"/>
    <n v="46"/>
    <n v="54"/>
    <n v="52"/>
    <n v="68"/>
    <n v="323"/>
    <n v="53.833333333333336"/>
    <s v="C"/>
    <n v="32"/>
  </r>
  <r>
    <s v="STU154"/>
    <s v="Femi Ekpo"/>
    <s v="Male"/>
    <x v="3"/>
    <x v="0"/>
    <n v="64"/>
    <n v="55"/>
    <n v="48"/>
    <n v="57"/>
    <n v="57"/>
    <n v="61"/>
    <n v="342"/>
    <n v="57"/>
    <s v="C"/>
    <n v="27"/>
  </r>
  <r>
    <s v="STU154"/>
    <s v="Femi Ekpo"/>
    <s v="Male"/>
    <x v="3"/>
    <x v="1"/>
    <n v="58"/>
    <n v="45"/>
    <n v="42"/>
    <n v="75"/>
    <n v="57"/>
    <n v="73"/>
    <n v="350"/>
    <n v="58.333333333333336"/>
    <s v="C"/>
    <n v="26"/>
  </r>
  <r>
    <s v="STU155"/>
    <s v="Comfort Eke"/>
    <s v="Female"/>
    <x v="3"/>
    <x v="2"/>
    <n v="51"/>
    <n v="71"/>
    <n v="67"/>
    <n v="68"/>
    <n v="62"/>
    <n v="62"/>
    <n v="381"/>
    <n v="63.5"/>
    <s v="B"/>
    <n v="21"/>
  </r>
  <r>
    <s v="STU155"/>
    <s v="Comfort Eke"/>
    <s v="Female"/>
    <x v="3"/>
    <x v="0"/>
    <n v="53"/>
    <n v="59"/>
    <n v="69"/>
    <n v="80"/>
    <n v="73"/>
    <n v="74"/>
    <n v="408"/>
    <n v="68"/>
    <s v="B"/>
    <n v="10"/>
  </r>
  <r>
    <s v="STU155"/>
    <s v="Comfort Eke"/>
    <s v="Female"/>
    <x v="3"/>
    <x v="1"/>
    <n v="65"/>
    <n v="78"/>
    <n v="62"/>
    <n v="62"/>
    <n v="83"/>
    <n v="82"/>
    <n v="432"/>
    <n v="72"/>
    <s v="A"/>
    <n v="10"/>
  </r>
  <r>
    <s v="STU156"/>
    <s v="Uchenna Nwosu"/>
    <s v="Male"/>
    <x v="3"/>
    <x v="2"/>
    <n v="83"/>
    <n v="92"/>
    <n v="77"/>
    <n v="81"/>
    <n v="85"/>
    <n v="86"/>
    <n v="504"/>
    <n v="84"/>
    <s v="A"/>
    <n v="3"/>
  </r>
  <r>
    <s v="STU156"/>
    <s v="Uchenna Nwosu"/>
    <s v="Male"/>
    <x v="3"/>
    <x v="0"/>
    <n v="62"/>
    <n v="71"/>
    <n v="81"/>
    <n v="65"/>
    <n v="83"/>
    <n v="79"/>
    <n v="441"/>
    <n v="73.5"/>
    <s v="A"/>
    <n v="5"/>
  </r>
  <r>
    <s v="STU156"/>
    <s v="Uchenna Nwosu"/>
    <s v="Male"/>
    <x v="3"/>
    <x v="1"/>
    <n v="75"/>
    <n v="89"/>
    <n v="70"/>
    <n v="79"/>
    <n v="67"/>
    <n v="76"/>
    <n v="456"/>
    <n v="76"/>
    <s v="A"/>
    <n v="5"/>
  </r>
  <r>
    <s v="STU157"/>
    <s v="Hauwa Lawal"/>
    <s v="Female"/>
    <x v="3"/>
    <x v="2"/>
    <n v="66"/>
    <n v="73"/>
    <n v="82"/>
    <n v="70"/>
    <n v="74"/>
    <n v="81"/>
    <n v="446"/>
    <n v="74.333333333333329"/>
    <s v="A"/>
    <n v="10"/>
  </r>
  <r>
    <s v="STU157"/>
    <s v="Hauwa Lawal"/>
    <s v="Female"/>
    <x v="3"/>
    <x v="0"/>
    <n v="85"/>
    <n v="68"/>
    <n v="61"/>
    <n v="73"/>
    <n v="70"/>
    <n v="82"/>
    <n v="439"/>
    <n v="73.166666666666671"/>
    <s v="A"/>
    <n v="6"/>
  </r>
  <r>
    <s v="STU157"/>
    <s v="Hauwa Lawal"/>
    <s v="Female"/>
    <x v="3"/>
    <x v="1"/>
    <n v="69"/>
    <n v="64"/>
    <n v="73"/>
    <n v="76"/>
    <n v="81"/>
    <n v="76"/>
    <n v="439"/>
    <n v="73.166666666666671"/>
    <s v="A"/>
    <n v="9"/>
  </r>
  <r>
    <s v="STU158"/>
    <s v="Sade Umar"/>
    <s v="Female"/>
    <x v="3"/>
    <x v="2"/>
    <n v="98"/>
    <n v="98"/>
    <n v="90"/>
    <n v="98"/>
    <n v="98"/>
    <n v="98"/>
    <n v="580"/>
    <n v="96.666666666666671"/>
    <s v="A"/>
    <n v="1"/>
  </r>
  <r>
    <s v="STU158"/>
    <s v="Sade Umar"/>
    <s v="Female"/>
    <x v="3"/>
    <x v="0"/>
    <n v="88"/>
    <n v="98"/>
    <n v="91"/>
    <n v="98"/>
    <n v="98"/>
    <n v="95"/>
    <n v="568"/>
    <n v="94.666666666666671"/>
    <s v="A"/>
    <n v="1"/>
  </r>
  <r>
    <s v="STU158"/>
    <s v="Sade Umar"/>
    <s v="Female"/>
    <x v="3"/>
    <x v="1"/>
    <n v="92"/>
    <n v="98"/>
    <n v="92"/>
    <n v="98"/>
    <n v="98"/>
    <n v="98"/>
    <n v="576"/>
    <n v="96"/>
    <s v="A"/>
    <n v="1"/>
  </r>
  <r>
    <s v="STU159"/>
    <s v="Ikenna Thomas"/>
    <s v="Male"/>
    <x v="3"/>
    <x v="2"/>
    <n v="61"/>
    <n v="61"/>
    <n v="72"/>
    <n v="73"/>
    <n v="77"/>
    <n v="73"/>
    <n v="417"/>
    <n v="69.5"/>
    <s v="B"/>
    <n v="13"/>
  </r>
  <r>
    <s v="STU159"/>
    <s v="Ikenna Thomas"/>
    <s v="Male"/>
    <x v="3"/>
    <x v="0"/>
    <n v="58"/>
    <n v="56"/>
    <n v="72"/>
    <n v="78"/>
    <n v="65"/>
    <n v="77"/>
    <n v="406"/>
    <n v="67.666666666666671"/>
    <s v="B"/>
    <n v="11"/>
  </r>
  <r>
    <s v="STU159"/>
    <s v="Ikenna Thomas"/>
    <s v="Male"/>
    <x v="3"/>
    <x v="1"/>
    <n v="68"/>
    <n v="73"/>
    <n v="57"/>
    <n v="88"/>
    <n v="87"/>
    <n v="71"/>
    <n v="444"/>
    <n v="74"/>
    <s v="A"/>
    <n v="7"/>
  </r>
  <r>
    <s v="STU160"/>
    <s v="Folake Hassan"/>
    <s v="Female"/>
    <x v="3"/>
    <x v="2"/>
    <n v="34"/>
    <n v="53"/>
    <n v="50"/>
    <n v="56"/>
    <n v="48"/>
    <n v="47"/>
    <n v="288"/>
    <n v="48"/>
    <s v="D"/>
    <n v="35"/>
  </r>
  <r>
    <s v="STU160"/>
    <s v="Folake Hassan"/>
    <s v="Female"/>
    <x v="3"/>
    <x v="0"/>
    <n v="35"/>
    <n v="43"/>
    <n v="43"/>
    <n v="54"/>
    <n v="52"/>
    <n v="61"/>
    <n v="288"/>
    <n v="48"/>
    <s v="D"/>
    <n v="35"/>
  </r>
  <r>
    <s v="STU160"/>
    <s v="Folake Hassan"/>
    <s v="Female"/>
    <x v="3"/>
    <x v="1"/>
    <n v="48"/>
    <n v="55"/>
    <n v="49"/>
    <n v="65"/>
    <n v="68"/>
    <n v="51"/>
    <n v="336"/>
    <n v="56"/>
    <s v="C"/>
    <n v="30"/>
  </r>
  <r>
    <s v="STU161"/>
    <s v="Yusuf Salami"/>
    <s v="Male"/>
    <x v="4"/>
    <x v="0"/>
    <n v="51"/>
    <n v="71"/>
    <n v="55"/>
    <n v="66"/>
    <n v="58"/>
    <n v="58"/>
    <n v="359"/>
    <n v="59.833333333333336"/>
    <s v="C"/>
    <n v="17"/>
  </r>
  <r>
    <s v="STU161"/>
    <s v="Yusuf Salami"/>
    <s v="Male"/>
    <x v="4"/>
    <x v="1"/>
    <n v="46"/>
    <n v="42"/>
    <n v="51"/>
    <n v="67"/>
    <n v="62"/>
    <n v="58"/>
    <n v="326"/>
    <n v="54.333333333333336"/>
    <s v="C"/>
    <n v="30"/>
  </r>
  <r>
    <s v="STU161"/>
    <s v="Yusuf Salami"/>
    <s v="Male"/>
    <x v="4"/>
    <x v="2"/>
    <n v="50"/>
    <n v="59"/>
    <n v="61"/>
    <n v="55"/>
    <n v="61"/>
    <n v="65"/>
    <n v="351"/>
    <n v="58.5"/>
    <s v="C"/>
    <n v="28"/>
  </r>
  <r>
    <s v="STU162"/>
    <s v="Omolara Mohammed"/>
    <s v="Female"/>
    <x v="4"/>
    <x v="0"/>
    <n v="65"/>
    <n v="55"/>
    <n v="59"/>
    <n v="54"/>
    <n v="62"/>
    <n v="72"/>
    <n v="367"/>
    <n v="61.166666666666664"/>
    <s v="B"/>
    <n v="15"/>
  </r>
  <r>
    <s v="STU162"/>
    <s v="Omolara Mohammed"/>
    <s v="Female"/>
    <x v="4"/>
    <x v="1"/>
    <n v="68"/>
    <n v="61"/>
    <n v="58"/>
    <n v="59"/>
    <n v="57"/>
    <n v="62"/>
    <n v="365"/>
    <n v="60.833333333333336"/>
    <s v="B"/>
    <n v="20"/>
  </r>
  <r>
    <s v="STU162"/>
    <s v="Omolara Mohammed"/>
    <s v="Female"/>
    <x v="4"/>
    <x v="2"/>
    <n v="60"/>
    <n v="47"/>
    <n v="58"/>
    <n v="60"/>
    <n v="58"/>
    <n v="69"/>
    <n v="352"/>
    <n v="58.666666666666664"/>
    <s v="C"/>
    <n v="27"/>
  </r>
  <r>
    <s v="STU163"/>
    <s v="Tolu Mohammed"/>
    <s v="Female"/>
    <x v="4"/>
    <x v="0"/>
    <n v="56"/>
    <n v="60"/>
    <n v="61"/>
    <n v="60"/>
    <n v="60"/>
    <n v="68"/>
    <n v="365"/>
    <n v="60.833333333333336"/>
    <s v="B"/>
    <n v="16"/>
  </r>
  <r>
    <s v="STU163"/>
    <s v="Tolu Mohammed"/>
    <s v="Female"/>
    <x v="4"/>
    <x v="1"/>
    <n v="59"/>
    <n v="79"/>
    <n v="70"/>
    <n v="68"/>
    <n v="76"/>
    <n v="84"/>
    <n v="436"/>
    <n v="72.666666666666671"/>
    <s v="A"/>
    <n v="7"/>
  </r>
  <r>
    <s v="STU163"/>
    <s v="Tolu Mohammed"/>
    <s v="Female"/>
    <x v="4"/>
    <x v="2"/>
    <n v="76"/>
    <n v="90"/>
    <n v="71"/>
    <n v="90"/>
    <n v="80"/>
    <n v="85"/>
    <n v="492"/>
    <n v="82"/>
    <s v="A"/>
    <n v="3"/>
  </r>
  <r>
    <s v="STU164"/>
    <s v="Ifeoma Hassan"/>
    <s v="Female"/>
    <x v="4"/>
    <x v="0"/>
    <n v="40"/>
    <n v="44"/>
    <n v="62"/>
    <n v="68"/>
    <m/>
    <n v="63"/>
    <n v="277"/>
    <n v="55.4"/>
    <s v="C"/>
    <n v="25"/>
  </r>
  <r>
    <s v="STU164"/>
    <s v="Ifeoma Hassan"/>
    <s v="Female"/>
    <x v="4"/>
    <x v="1"/>
    <n v="53"/>
    <n v="69"/>
    <n v="43"/>
    <n v="72"/>
    <n v="50"/>
    <n v="75"/>
    <n v="362"/>
    <n v="60.333333333333336"/>
    <s v="B"/>
    <n v="21"/>
  </r>
  <r>
    <s v="STU164"/>
    <s v="Ifeoma Hassan"/>
    <s v="Female"/>
    <x v="4"/>
    <x v="2"/>
    <n v="73"/>
    <n v="55"/>
    <n v="57"/>
    <n v="67"/>
    <n v="74"/>
    <n v="55"/>
    <n v="381"/>
    <n v="63.5"/>
    <s v="B"/>
    <n v="21"/>
  </r>
  <r>
    <s v="STU165"/>
    <s v="Seun Danjuma"/>
    <s v="Male"/>
    <x v="4"/>
    <x v="0"/>
    <n v="50"/>
    <n v="62"/>
    <n v="61"/>
    <n v="65"/>
    <n v="58"/>
    <n v="60"/>
    <n v="356"/>
    <n v="59.333333333333336"/>
    <s v="C"/>
    <n v="19"/>
  </r>
  <r>
    <s v="STU165"/>
    <s v="Seun Danjuma"/>
    <s v="Male"/>
    <x v="4"/>
    <x v="1"/>
    <n v="53"/>
    <n v="81"/>
    <n v="54"/>
    <n v="68"/>
    <n v="65"/>
    <n v="68"/>
    <n v="389"/>
    <n v="64.833333333333329"/>
    <s v="B"/>
    <n v="12"/>
  </r>
  <r>
    <s v="STU165"/>
    <s v="Seun Danjuma"/>
    <s v="Male"/>
    <x v="4"/>
    <x v="2"/>
    <n v="65"/>
    <n v="65"/>
    <n v="67"/>
    <n v="69"/>
    <n v="78"/>
    <n v="72"/>
    <n v="416"/>
    <n v="69.333333333333329"/>
    <s v="B"/>
    <n v="12"/>
  </r>
  <r>
    <s v="STU166"/>
    <s v="Patience Adeyemi"/>
    <s v="Female"/>
    <x v="4"/>
    <x v="0"/>
    <n v="60"/>
    <n v="65"/>
    <n v="76"/>
    <n v="81"/>
    <n v="61"/>
    <n v="66"/>
    <n v="409"/>
    <n v="68.166666666666671"/>
    <s v="B"/>
    <n v="8"/>
  </r>
  <r>
    <s v="STU166"/>
    <s v="Patience Adeyemi"/>
    <s v="Female"/>
    <x v="4"/>
    <x v="1"/>
    <n v="55"/>
    <n v="68"/>
    <n v="68"/>
    <n v="69"/>
    <n v="77"/>
    <n v="73"/>
    <n v="410"/>
    <n v="68.333333333333329"/>
    <s v="B"/>
    <n v="11"/>
  </r>
  <r>
    <s v="STU166"/>
    <s v="Patience Adeyemi"/>
    <s v="Female"/>
    <x v="4"/>
    <x v="2"/>
    <n v="70"/>
    <n v="64"/>
    <n v="79"/>
    <n v="73"/>
    <n v="78"/>
    <n v="87"/>
    <n v="451"/>
    <n v="75.166666666666671"/>
    <s v="A"/>
    <n v="8"/>
  </r>
  <r>
    <s v="STU167"/>
    <s v="Ifeoma Suleiman"/>
    <s v="Female"/>
    <x v="4"/>
    <x v="0"/>
    <n v="32"/>
    <n v="55"/>
    <n v="48"/>
    <n v="53"/>
    <n v="42"/>
    <n v="44"/>
    <n v="274"/>
    <n v="45.666666666666664"/>
    <s v="D"/>
    <n v="32"/>
  </r>
  <r>
    <s v="STU167"/>
    <s v="Ifeoma Suleiman"/>
    <s v="Female"/>
    <x v="4"/>
    <x v="1"/>
    <n v="44"/>
    <n v="47"/>
    <n v="43"/>
    <n v="52"/>
    <n v="47"/>
    <n v="54"/>
    <n v="287"/>
    <n v="47.833333333333336"/>
    <s v="D"/>
    <n v="34"/>
  </r>
  <r>
    <s v="STU167"/>
    <s v="Ifeoma Suleiman"/>
    <s v="Female"/>
    <x v="4"/>
    <x v="2"/>
    <n v="49"/>
    <n v="45"/>
    <n v="43"/>
    <n v="53"/>
    <n v="52"/>
    <n v="56"/>
    <n v="298"/>
    <n v="49.666666666666664"/>
    <s v="D"/>
    <n v="34"/>
  </r>
  <r>
    <s v="STU168"/>
    <s v="Ifeanyi Oladipo"/>
    <s v="Male"/>
    <x v="4"/>
    <x v="0"/>
    <n v="72"/>
    <n v="65"/>
    <n v="86"/>
    <n v="79"/>
    <n v="82"/>
    <n v="75"/>
    <n v="459"/>
    <n v="76.5"/>
    <s v="A"/>
    <n v="3"/>
  </r>
  <r>
    <s v="STU168"/>
    <s v="Ifeanyi Oladipo"/>
    <s v="Male"/>
    <x v="4"/>
    <x v="1"/>
    <n v="69"/>
    <n v="75"/>
    <n v="68"/>
    <n v="78"/>
    <n v="70"/>
    <n v="98"/>
    <n v="458"/>
    <n v="76.333333333333329"/>
    <s v="A"/>
    <n v="4"/>
  </r>
  <r>
    <s v="STU168"/>
    <s v="Ifeanyi Oladipo"/>
    <s v="Male"/>
    <x v="4"/>
    <x v="2"/>
    <n v="72"/>
    <n v="80"/>
    <n v="77"/>
    <n v="74"/>
    <n v="81"/>
    <n v="64"/>
    <n v="448"/>
    <n v="74.666666666666671"/>
    <s v="A"/>
    <n v="9"/>
  </r>
  <r>
    <s v="STU169"/>
    <s v="Dare Bakare"/>
    <s v="Male"/>
    <x v="4"/>
    <x v="0"/>
    <n v="22"/>
    <n v="39"/>
    <n v="31"/>
    <n v="23"/>
    <n v="29"/>
    <n v="47"/>
    <n v="191"/>
    <n v="31.833333333333332"/>
    <s v="F"/>
    <n v="39"/>
  </r>
  <r>
    <s v="STU169"/>
    <s v="Dare Bakare"/>
    <s v="Male"/>
    <x v="4"/>
    <x v="1"/>
    <n v="12"/>
    <n v="31"/>
    <n v="16"/>
    <n v="40"/>
    <n v="38"/>
    <n v="43"/>
    <n v="180"/>
    <n v="30"/>
    <s v="F"/>
    <n v="39"/>
  </r>
  <r>
    <s v="STU169"/>
    <s v="Dare Bakare"/>
    <s v="Male"/>
    <x v="4"/>
    <x v="2"/>
    <n v="17"/>
    <n v="28"/>
    <n v="25"/>
    <n v="20"/>
    <n v="30"/>
    <n v="27"/>
    <n v="147"/>
    <n v="24.5"/>
    <s v="F"/>
    <n v="39"/>
  </r>
  <r>
    <s v="STU170"/>
    <s v="Khadija Obi"/>
    <s v="Female"/>
    <x v="4"/>
    <x v="0"/>
    <n v="15"/>
    <n v="22"/>
    <n v="36"/>
    <n v="39"/>
    <n v="31"/>
    <n v="21"/>
    <n v="164"/>
    <n v="27.333333333333332"/>
    <s v="F"/>
    <n v="40"/>
  </r>
  <r>
    <s v="STU170"/>
    <s v="Khadija Obi"/>
    <s v="Female"/>
    <x v="4"/>
    <x v="1"/>
    <n v="23"/>
    <n v="33"/>
    <n v="27"/>
    <n v="26"/>
    <n v="18"/>
    <n v="30"/>
    <n v="157"/>
    <n v="26.166666666666668"/>
    <s v="F"/>
    <n v="40"/>
  </r>
  <r>
    <s v="STU170"/>
    <s v="Khadija Obi"/>
    <s v="Female"/>
    <x v="4"/>
    <x v="2"/>
    <n v="12"/>
    <n v="13"/>
    <n v="16"/>
    <n v="18"/>
    <n v="24"/>
    <n v="32"/>
    <n v="115"/>
    <n v="19.166666666666668"/>
    <s v="F"/>
    <n v="40"/>
  </r>
  <r>
    <s v="STU171"/>
    <s v="Ifeanyi Amadi"/>
    <s v="Male"/>
    <x v="4"/>
    <x v="0"/>
    <n v="38"/>
    <n v="57"/>
    <n v="56"/>
    <n v="56"/>
    <n v="45"/>
    <n v="55"/>
    <n v="307"/>
    <n v="51.166666666666664"/>
    <s v="C"/>
    <n v="30"/>
  </r>
  <r>
    <s v="STU171"/>
    <s v="Ifeanyi Amadi"/>
    <s v="Male"/>
    <x v="4"/>
    <x v="1"/>
    <n v="71"/>
    <n v="66"/>
    <n v="51"/>
    <n v="62"/>
    <n v="62"/>
    <n v="68"/>
    <n v="380"/>
    <n v="63.333333333333336"/>
    <s v="B"/>
    <n v="13"/>
  </r>
  <r>
    <s v="STU171"/>
    <s v="Ifeanyi Amadi"/>
    <s v="Male"/>
    <x v="4"/>
    <x v="2"/>
    <n v="64"/>
    <n v="74"/>
    <n v="67"/>
    <n v="65"/>
    <n v="78"/>
    <n v="68"/>
    <n v="416"/>
    <n v="69.333333333333329"/>
    <s v="B"/>
    <n v="12"/>
  </r>
  <r>
    <s v="STU172"/>
    <s v="Garba Danjuma"/>
    <s v="Male"/>
    <x v="4"/>
    <x v="0"/>
    <n v="52"/>
    <n v="67"/>
    <n v="54"/>
    <n v="46"/>
    <n v="63"/>
    <n v="63"/>
    <n v="345"/>
    <n v="57.5"/>
    <s v="C"/>
    <n v="23"/>
  </r>
  <r>
    <s v="STU172"/>
    <s v="Garba Danjuma"/>
    <s v="Male"/>
    <x v="4"/>
    <x v="1"/>
    <n v="44"/>
    <n v="62"/>
    <n v="56"/>
    <n v="53"/>
    <n v="63"/>
    <n v="63"/>
    <n v="341"/>
    <n v="56.833333333333336"/>
    <s v="C"/>
    <n v="26"/>
  </r>
  <r>
    <s v="STU172"/>
    <s v="Garba Danjuma"/>
    <s v="Male"/>
    <x v="4"/>
    <x v="2"/>
    <n v="42"/>
    <n v="62"/>
    <n v="48"/>
    <n v="67"/>
    <n v="55"/>
    <n v="70"/>
    <n v="344"/>
    <n v="57.333333333333336"/>
    <s v="C"/>
    <n v="29"/>
  </r>
  <r>
    <s v="STU173"/>
    <s v="Esther Musa"/>
    <s v="Female"/>
    <x v="4"/>
    <x v="0"/>
    <n v="53"/>
    <n v="48"/>
    <n v="60"/>
    <n v="69"/>
    <n v="52"/>
    <n v="58"/>
    <n v="340"/>
    <n v="56.666666666666664"/>
    <s v="C"/>
    <n v="24"/>
  </r>
  <r>
    <s v="STU173"/>
    <s v="Esther Musa"/>
    <s v="Female"/>
    <x v="4"/>
    <x v="1"/>
    <n v="47"/>
    <n v="58"/>
    <n v="68"/>
    <n v="63"/>
    <n v="74"/>
    <n v="65"/>
    <n v="375"/>
    <n v="62.5"/>
    <s v="B"/>
    <n v="17"/>
  </r>
  <r>
    <s v="STU173"/>
    <s v="Esther Musa"/>
    <s v="Female"/>
    <x v="4"/>
    <x v="2"/>
    <n v="65"/>
    <n v="58"/>
    <n v="57"/>
    <n v="53"/>
    <n v="72"/>
    <n v="67"/>
    <n v="372"/>
    <n v="62"/>
    <s v="B"/>
    <n v="24"/>
  </r>
  <r>
    <s v="STU174"/>
    <s v="Kemi Hassan"/>
    <s v="Female"/>
    <x v="4"/>
    <x v="0"/>
    <n v="48"/>
    <n v="50"/>
    <n v="59"/>
    <n v="63"/>
    <m/>
    <n v="73"/>
    <n v="293"/>
    <n v="58.6"/>
    <s v="C"/>
    <n v="22"/>
  </r>
  <r>
    <s v="STU174"/>
    <s v="Kemi Hassan"/>
    <s v="Female"/>
    <x v="4"/>
    <x v="1"/>
    <n v="53"/>
    <n v="57"/>
    <n v="70"/>
    <n v="61"/>
    <n v="62"/>
    <n v="63"/>
    <n v="366"/>
    <n v="61"/>
    <s v="B"/>
    <n v="19"/>
  </r>
  <r>
    <s v="STU174"/>
    <s v="Kemi Hassan"/>
    <s v="Female"/>
    <x v="4"/>
    <x v="2"/>
    <n v="70"/>
    <n v="76"/>
    <n v="66"/>
    <n v="62"/>
    <n v="60"/>
    <n v="70"/>
    <n v="404"/>
    <n v="67.333333333333329"/>
    <s v="B"/>
    <n v="16"/>
  </r>
  <r>
    <s v="STU175"/>
    <s v="Dare Ogbonna"/>
    <s v="Male"/>
    <x v="4"/>
    <x v="0"/>
    <n v="60"/>
    <n v="54"/>
    <n v="72"/>
    <n v="65"/>
    <n v="74"/>
    <n v="71"/>
    <n v="396"/>
    <n v="66"/>
    <s v="B"/>
    <n v="11"/>
  </r>
  <r>
    <s v="STU175"/>
    <s v="Dare Ogbonna"/>
    <s v="Male"/>
    <x v="4"/>
    <x v="1"/>
    <n v="57"/>
    <n v="54"/>
    <n v="55"/>
    <n v="62"/>
    <n v="67"/>
    <n v="72"/>
    <n v="367"/>
    <n v="61.166666666666664"/>
    <s v="B"/>
    <n v="18"/>
  </r>
  <r>
    <s v="STU175"/>
    <s v="Dare Ogbonna"/>
    <s v="Male"/>
    <x v="4"/>
    <x v="2"/>
    <n v="53"/>
    <n v="56"/>
    <n v="67"/>
    <n v="64"/>
    <n v="69"/>
    <n v="70"/>
    <n v="379"/>
    <n v="63.166666666666664"/>
    <s v="B"/>
    <n v="22"/>
  </r>
  <r>
    <s v="STU176"/>
    <s v="Dare Danjuma"/>
    <s v="Male"/>
    <x v="4"/>
    <x v="2"/>
    <n v="65"/>
    <n v="78"/>
    <n v="83"/>
    <n v="87"/>
    <n v="89"/>
    <n v="88"/>
    <n v="490"/>
    <n v="81.666666666666671"/>
    <s v="A"/>
    <n v="4"/>
  </r>
  <r>
    <s v="STU176"/>
    <s v="Dare Danjuma"/>
    <s v="Male"/>
    <x v="4"/>
    <x v="0"/>
    <n v="60"/>
    <n v="68"/>
    <n v="76"/>
    <n v="89"/>
    <n v="79"/>
    <n v="73"/>
    <n v="445"/>
    <n v="74.166666666666671"/>
    <s v="A"/>
    <n v="6"/>
  </r>
  <r>
    <s v="STU176"/>
    <s v="Dare Danjuma"/>
    <s v="Male"/>
    <x v="4"/>
    <x v="1"/>
    <n v="80"/>
    <n v="66"/>
    <n v="69"/>
    <n v="89"/>
    <n v="78"/>
    <n v="94"/>
    <n v="476"/>
    <n v="79.333333333333329"/>
    <s v="A"/>
    <n v="3"/>
  </r>
  <r>
    <s v="STU177"/>
    <s v="Blessing Ibrahim"/>
    <s v="Female"/>
    <x v="4"/>
    <x v="2"/>
    <n v="66"/>
    <n v="68"/>
    <n v="68"/>
    <n v="69"/>
    <n v="73"/>
    <n v="62"/>
    <n v="406"/>
    <n v="67.666666666666671"/>
    <s v="B"/>
    <n v="15"/>
  </r>
  <r>
    <s v="STU177"/>
    <s v="Blessing Ibrahim"/>
    <s v="Female"/>
    <x v="4"/>
    <x v="0"/>
    <n v="47"/>
    <n v="65"/>
    <n v="51"/>
    <n v="52"/>
    <n v="61"/>
    <n v="46"/>
    <n v="322"/>
    <n v="53.666666666666664"/>
    <s v="C"/>
    <n v="29"/>
  </r>
  <r>
    <s v="STU177"/>
    <s v="Blessing Ibrahim"/>
    <s v="Female"/>
    <x v="4"/>
    <x v="1"/>
    <n v="62"/>
    <n v="66"/>
    <n v="60"/>
    <n v="61"/>
    <n v="54"/>
    <n v="56"/>
    <n v="359"/>
    <n v="59.833333333333336"/>
    <s v="C"/>
    <n v="22"/>
  </r>
  <r>
    <s v="STU178"/>
    <s v="Comfort Anyanwu"/>
    <s v="Female"/>
    <x v="4"/>
    <x v="0"/>
    <n v="50"/>
    <n v="54"/>
    <n v="56"/>
    <n v="55"/>
    <n v="48"/>
    <n v="61"/>
    <n v="324"/>
    <n v="54"/>
    <s v="C"/>
    <n v="27"/>
  </r>
  <r>
    <s v="STU178"/>
    <s v="Comfort Anyanwu"/>
    <s v="Female"/>
    <x v="4"/>
    <x v="1"/>
    <n v="37"/>
    <n v="59"/>
    <n v="52"/>
    <n v="50"/>
    <n v="58"/>
    <n v="69"/>
    <n v="325"/>
    <n v="54.166666666666664"/>
    <s v="C"/>
    <n v="31"/>
  </r>
  <r>
    <s v="STU178"/>
    <s v="Comfort Anyanwu"/>
    <s v="Female"/>
    <x v="4"/>
    <x v="2"/>
    <n v="39"/>
    <n v="64"/>
    <n v="51"/>
    <n v="63"/>
    <n v="58"/>
    <n v="61"/>
    <n v="336"/>
    <n v="56"/>
    <s v="C"/>
    <n v="30"/>
  </r>
  <r>
    <s v="STU179"/>
    <s v="Ayodele Abubakar"/>
    <s v="Male"/>
    <x v="4"/>
    <x v="2"/>
    <n v="68"/>
    <n v="67"/>
    <n v="65"/>
    <n v="68"/>
    <n v="73"/>
    <n v="70"/>
    <n v="411"/>
    <n v="68.5"/>
    <s v="B"/>
    <n v="14"/>
  </r>
  <r>
    <s v="STU179"/>
    <s v="Ayodele Abubakar"/>
    <s v="Male"/>
    <x v="4"/>
    <x v="0"/>
    <n v="68"/>
    <n v="63"/>
    <n v="59"/>
    <n v="66"/>
    <n v="74"/>
    <n v="66"/>
    <n v="396"/>
    <n v="66"/>
    <s v="B"/>
    <n v="11"/>
  </r>
  <r>
    <s v="STU179"/>
    <s v="Ayodele Abubakar"/>
    <s v="Male"/>
    <x v="4"/>
    <x v="1"/>
    <n v="51"/>
    <n v="62"/>
    <n v="65"/>
    <n v="66"/>
    <n v="70"/>
    <n v="64"/>
    <n v="378"/>
    <n v="63"/>
    <s v="B"/>
    <n v="14"/>
  </r>
  <r>
    <s v="STU180"/>
    <s v="Daniel Thomas"/>
    <s v="Male"/>
    <x v="4"/>
    <x v="0"/>
    <n v="48"/>
    <n v="60"/>
    <n v="50"/>
    <n v="57"/>
    <n v="49"/>
    <n v="59"/>
    <n v="323"/>
    <n v="53.833333333333336"/>
    <s v="C"/>
    <n v="28"/>
  </r>
  <r>
    <s v="STU180"/>
    <s v="Daniel Thomas"/>
    <s v="Male"/>
    <x v="4"/>
    <x v="1"/>
    <n v="40"/>
    <n v="48"/>
    <n v="48"/>
    <n v="71"/>
    <n v="66"/>
    <n v="63"/>
    <n v="336"/>
    <n v="56"/>
    <s v="C"/>
    <n v="29"/>
  </r>
  <r>
    <s v="STU180"/>
    <s v="Daniel Thomas"/>
    <s v="Male"/>
    <x v="4"/>
    <x v="2"/>
    <n v="50"/>
    <n v="62"/>
    <n v="37"/>
    <n v="48"/>
    <n v="57"/>
    <n v="54"/>
    <n v="308"/>
    <n v="51.333333333333336"/>
    <s v="C"/>
    <n v="32"/>
  </r>
  <r>
    <s v="STU181"/>
    <s v="Bello Adewale"/>
    <s v="Male"/>
    <x v="4"/>
    <x v="2"/>
    <n v="62"/>
    <n v="60"/>
    <n v="66"/>
    <n v="71"/>
    <n v="75"/>
    <n v="59"/>
    <n v="393"/>
    <n v="65.5"/>
    <s v="B"/>
    <n v="19"/>
  </r>
  <r>
    <s v="STU181"/>
    <s v="Bello Adewale"/>
    <s v="Male"/>
    <x v="4"/>
    <x v="0"/>
    <n v="38"/>
    <n v="50"/>
    <n v="56"/>
    <n v="63"/>
    <n v="57"/>
    <n v="61"/>
    <n v="325"/>
    <n v="54.166666666666664"/>
    <s v="C"/>
    <n v="26"/>
  </r>
  <r>
    <s v="STU181"/>
    <s v="Bello Adewale"/>
    <s v="Male"/>
    <x v="4"/>
    <x v="1"/>
    <n v="57"/>
    <n v="40"/>
    <n v="61"/>
    <n v="47"/>
    <n v="65"/>
    <n v="68"/>
    <n v="338"/>
    <n v="56.333333333333336"/>
    <s v="C"/>
    <n v="28"/>
  </r>
  <r>
    <s v="STU182"/>
    <s v="Nnamdi Ajayi"/>
    <s v="Male"/>
    <x v="4"/>
    <x v="0"/>
    <n v="25"/>
    <n v="39"/>
    <n v="33"/>
    <n v="44"/>
    <n v="44"/>
    <n v="44"/>
    <n v="229"/>
    <n v="38.166666666666664"/>
    <s v="F"/>
    <n v="37"/>
  </r>
  <r>
    <s v="STU182"/>
    <s v="Nnamdi Ajayi"/>
    <s v="Male"/>
    <x v="4"/>
    <x v="1"/>
    <n v="37"/>
    <n v="41"/>
    <n v="32"/>
    <n v="47"/>
    <n v="39"/>
    <n v="57"/>
    <n v="253"/>
    <n v="42.166666666666664"/>
    <s v="E"/>
    <n v="37"/>
  </r>
  <r>
    <s v="STU182"/>
    <s v="Nnamdi Ajayi"/>
    <s v="Male"/>
    <x v="4"/>
    <x v="2"/>
    <n v="45"/>
    <n v="38"/>
    <n v="42"/>
    <n v="36"/>
    <n v="48"/>
    <n v="60"/>
    <n v="269"/>
    <n v="44.833333333333336"/>
    <s v="E"/>
    <n v="38"/>
  </r>
  <r>
    <s v="STU183"/>
    <s v="Nnamdi Ezeh"/>
    <s v="Male"/>
    <x v="4"/>
    <x v="2"/>
    <n v="61"/>
    <n v="55"/>
    <n v="61"/>
    <n v="64"/>
    <n v="81"/>
    <n v="67"/>
    <n v="389"/>
    <n v="64.833333333333329"/>
    <s v="B"/>
    <n v="20"/>
  </r>
  <r>
    <s v="STU183"/>
    <s v="Nnamdi Ezeh"/>
    <s v="Male"/>
    <x v="4"/>
    <x v="0"/>
    <n v="52"/>
    <n v="64"/>
    <n v="64"/>
    <n v="61"/>
    <n v="69"/>
    <n v="62"/>
    <n v="372"/>
    <n v="62"/>
    <s v="B"/>
    <n v="14"/>
  </r>
  <r>
    <s v="STU183"/>
    <s v="Nnamdi Ezeh"/>
    <s v="Male"/>
    <x v="4"/>
    <x v="1"/>
    <n v="57"/>
    <n v="51"/>
    <n v="55"/>
    <n v="62"/>
    <n v="70"/>
    <n v="60"/>
    <n v="355"/>
    <n v="59.166666666666664"/>
    <s v="C"/>
    <n v="23"/>
  </r>
  <r>
    <s v="STU184"/>
    <s v="Precious Abubakar"/>
    <s v="Female"/>
    <x v="4"/>
    <x v="0"/>
    <n v="59"/>
    <n v="72"/>
    <n v="59"/>
    <n v="72"/>
    <n v="69"/>
    <n v="66"/>
    <n v="397"/>
    <n v="66.166666666666671"/>
    <s v="B"/>
    <n v="10"/>
  </r>
  <r>
    <s v="STU184"/>
    <s v="Precious Abubakar"/>
    <s v="Female"/>
    <x v="4"/>
    <x v="1"/>
    <n v="47"/>
    <n v="64"/>
    <n v="52"/>
    <n v="67"/>
    <n v="63"/>
    <n v="58"/>
    <n v="351"/>
    <n v="58.5"/>
    <s v="C"/>
    <n v="24"/>
  </r>
  <r>
    <s v="STU184"/>
    <s v="Precious Abubakar"/>
    <s v="Female"/>
    <x v="4"/>
    <x v="2"/>
    <n v="44"/>
    <n v="66"/>
    <n v="49"/>
    <n v="48"/>
    <n v="57"/>
    <n v="54"/>
    <n v="318"/>
    <n v="53"/>
    <s v="C"/>
    <n v="31"/>
  </r>
  <r>
    <s v="STU185"/>
    <s v="Usman Eke"/>
    <s v="Male"/>
    <x v="4"/>
    <x v="2"/>
    <n v="77"/>
    <n v="73"/>
    <n v="66"/>
    <n v="68"/>
    <n v="81"/>
    <n v="82"/>
    <n v="447"/>
    <n v="74.5"/>
    <s v="A"/>
    <n v="10"/>
  </r>
  <r>
    <s v="STU185"/>
    <s v="Usman Eke"/>
    <s v="Male"/>
    <x v="4"/>
    <x v="0"/>
    <n v="51"/>
    <n v="70"/>
    <n v="58"/>
    <n v="79"/>
    <n v="79"/>
    <n v="78"/>
    <n v="415"/>
    <n v="69.166666666666671"/>
    <s v="B"/>
    <n v="7"/>
  </r>
  <r>
    <s v="STU185"/>
    <s v="Usman Eke"/>
    <s v="Male"/>
    <x v="4"/>
    <x v="1"/>
    <n v="64"/>
    <n v="64"/>
    <n v="70"/>
    <n v="68"/>
    <n v="82"/>
    <n v="67"/>
    <n v="415"/>
    <n v="69.166666666666671"/>
    <s v="B"/>
    <n v="10"/>
  </r>
  <r>
    <s v="STU186"/>
    <s v="Seun Adebayo"/>
    <s v="Male"/>
    <x v="4"/>
    <x v="2"/>
    <n v="51"/>
    <n v="60"/>
    <n v="63"/>
    <n v="59"/>
    <n v="74"/>
    <n v="69"/>
    <n v="376"/>
    <n v="62.666666666666664"/>
    <s v="B"/>
    <n v="23"/>
  </r>
  <r>
    <s v="STU186"/>
    <s v="Seun Adebayo"/>
    <s v="Male"/>
    <x v="4"/>
    <x v="0"/>
    <n v="59"/>
    <n v="60"/>
    <n v="54"/>
    <n v="64"/>
    <n v="56"/>
    <n v="65"/>
    <n v="358"/>
    <n v="59.666666666666664"/>
    <s v="C"/>
    <n v="18"/>
  </r>
  <r>
    <s v="STU186"/>
    <s v="Seun Adebayo"/>
    <s v="Male"/>
    <x v="4"/>
    <x v="1"/>
    <n v="49"/>
    <n v="70"/>
    <n v="62"/>
    <n v="61"/>
    <n v="61"/>
    <n v="74"/>
    <n v="377"/>
    <n v="62.833333333333336"/>
    <s v="B"/>
    <n v="15"/>
  </r>
  <r>
    <s v="STU187"/>
    <s v="Nneka Oladipo"/>
    <s v="Female"/>
    <x v="4"/>
    <x v="2"/>
    <n v="63"/>
    <n v="66"/>
    <n v="67"/>
    <n v="70"/>
    <n v="88"/>
    <n v="71"/>
    <n v="425"/>
    <n v="70.833333333333329"/>
    <s v="A"/>
    <n v="11"/>
  </r>
  <r>
    <s v="STU187"/>
    <s v="Nneka Oladipo"/>
    <s v="Female"/>
    <x v="4"/>
    <x v="0"/>
    <n v="75"/>
    <n v="70"/>
    <n v="88"/>
    <n v="76"/>
    <n v="76"/>
    <n v="67"/>
    <n v="452"/>
    <n v="75.333333333333329"/>
    <s v="A"/>
    <n v="4"/>
  </r>
  <r>
    <s v="STU187"/>
    <s v="Nneka Oladipo"/>
    <s v="Female"/>
    <x v="4"/>
    <x v="1"/>
    <n v="67"/>
    <n v="61"/>
    <n v="67"/>
    <n v="71"/>
    <n v="81"/>
    <n v="75"/>
    <n v="422"/>
    <n v="70.333333333333329"/>
    <s v="A"/>
    <n v="9"/>
  </r>
  <r>
    <s v="STU188"/>
    <s v="Peter Uzor"/>
    <s v="Male"/>
    <x v="4"/>
    <x v="2"/>
    <n v="67"/>
    <n v="89"/>
    <n v="91"/>
    <n v="84"/>
    <n v="85"/>
    <n v="95"/>
    <n v="511"/>
    <n v="85.166666666666671"/>
    <s v="A"/>
    <n v="2"/>
  </r>
  <r>
    <s v="STU188"/>
    <s v="Peter Uzor"/>
    <s v="Male"/>
    <x v="4"/>
    <x v="0"/>
    <n v="68"/>
    <n v="78"/>
    <n v="88"/>
    <n v="71"/>
    <n v="96"/>
    <n v="82"/>
    <n v="483"/>
    <n v="80.5"/>
    <s v="A"/>
    <n v="2"/>
  </r>
  <r>
    <s v="STU188"/>
    <s v="Peter Uzor"/>
    <s v="Male"/>
    <x v="4"/>
    <x v="1"/>
    <n v="73"/>
    <n v="77"/>
    <n v="87"/>
    <n v="84"/>
    <n v="91"/>
    <n v="92"/>
    <n v="504"/>
    <n v="84"/>
    <s v="A"/>
    <n v="1"/>
  </r>
  <r>
    <s v="STU189"/>
    <s v="Ifeoma Lawal"/>
    <s v="Female"/>
    <x v="4"/>
    <x v="2"/>
    <n v="97"/>
    <n v="80"/>
    <n v="82"/>
    <n v="88"/>
    <n v="91"/>
    <n v="94"/>
    <n v="532"/>
    <n v="88.666666666666671"/>
    <s v="A"/>
    <n v="1"/>
  </r>
  <r>
    <s v="STU189"/>
    <s v="Ifeoma Lawal"/>
    <s v="Female"/>
    <x v="4"/>
    <x v="0"/>
    <n v="91"/>
    <n v="96"/>
    <n v="96"/>
    <n v="83"/>
    <n v="94"/>
    <n v="88"/>
    <n v="548"/>
    <n v="91.333333333333329"/>
    <s v="A"/>
    <n v="1"/>
  </r>
  <r>
    <s v="STU189"/>
    <s v="Ifeoma Lawal"/>
    <s v="Female"/>
    <x v="4"/>
    <x v="1"/>
    <n v="84"/>
    <n v="84"/>
    <n v="70"/>
    <n v="92"/>
    <n v="74"/>
    <n v="98"/>
    <n v="502"/>
    <n v="83.666666666666671"/>
    <s v="A"/>
    <n v="2"/>
  </r>
  <r>
    <s v="STU190"/>
    <s v="Tobi Onyeka"/>
    <s v="Male"/>
    <x v="4"/>
    <x v="0"/>
    <n v="21"/>
    <n v="32"/>
    <n v="43"/>
    <n v="45"/>
    <n v="38"/>
    <n v="36"/>
    <n v="215"/>
    <n v="35.833333333333336"/>
    <s v="F"/>
    <n v="38"/>
  </r>
  <r>
    <s v="STU190"/>
    <s v="Tobi Onyeka"/>
    <s v="Male"/>
    <x v="4"/>
    <x v="1"/>
    <n v="40"/>
    <n v="40"/>
    <n v="48"/>
    <n v="54"/>
    <n v="52"/>
    <n v="52"/>
    <n v="286"/>
    <n v="47.666666666666664"/>
    <s v="D"/>
    <n v="35"/>
  </r>
  <r>
    <s v="STU190"/>
    <s v="Tobi Onyeka"/>
    <s v="Male"/>
    <x v="4"/>
    <x v="2"/>
    <n v="44"/>
    <n v="54"/>
    <n v="41"/>
    <n v="40"/>
    <n v="56"/>
    <n v="56"/>
    <n v="291"/>
    <n v="48.5"/>
    <s v="D"/>
    <n v="35"/>
  </r>
  <r>
    <s v="STU191"/>
    <s v="Hauwa Aliyu"/>
    <s v="Female"/>
    <x v="4"/>
    <x v="2"/>
    <n v="73"/>
    <n v="79"/>
    <n v="55"/>
    <n v="88"/>
    <n v="83"/>
    <n v="76"/>
    <n v="454"/>
    <n v="75.666666666666671"/>
    <s v="A"/>
    <n v="6"/>
  </r>
  <r>
    <s v="STU191"/>
    <s v="Hauwa Aliyu"/>
    <s v="Female"/>
    <x v="4"/>
    <x v="0"/>
    <n v="66"/>
    <n v="69"/>
    <n v="52"/>
    <n v="93"/>
    <n v="93"/>
    <n v="73"/>
    <n v="446"/>
    <n v="74.333333333333329"/>
    <s v="A"/>
    <n v="5"/>
  </r>
  <r>
    <s v="STU191"/>
    <s v="Hauwa Aliyu"/>
    <s v="Female"/>
    <x v="4"/>
    <x v="1"/>
    <n v="72"/>
    <m/>
    <n v="72"/>
    <n v="78"/>
    <n v="84"/>
    <n v="74"/>
    <n v="380"/>
    <n v="76"/>
    <s v="A"/>
    <n v="5"/>
  </r>
  <r>
    <s v="STU192"/>
    <s v="Blessing Amadi"/>
    <s v="Female"/>
    <x v="4"/>
    <x v="0"/>
    <n v="36"/>
    <n v="45"/>
    <n v="38"/>
    <n v="48"/>
    <n v="31"/>
    <n v="49"/>
    <n v="247"/>
    <n v="41.166666666666664"/>
    <s v="E"/>
    <n v="35"/>
  </r>
  <r>
    <s v="STU192"/>
    <s v="Blessing Amadi"/>
    <s v="Female"/>
    <x v="4"/>
    <x v="1"/>
    <n v="44"/>
    <n v="47"/>
    <n v="41"/>
    <n v="40"/>
    <n v="46"/>
    <n v="40"/>
    <n v="258"/>
    <n v="43"/>
    <s v="E"/>
    <n v="36"/>
  </r>
  <r>
    <s v="STU192"/>
    <s v="Blessing Amadi"/>
    <s v="Female"/>
    <x v="4"/>
    <x v="2"/>
    <n v="37"/>
    <n v="41"/>
    <n v="44"/>
    <n v="55"/>
    <n v="52"/>
    <n v="43"/>
    <n v="272"/>
    <n v="45.333333333333336"/>
    <s v="D"/>
    <n v="37"/>
  </r>
  <r>
    <s v="STU193"/>
    <s v="Grace Ekpo"/>
    <s v="Female"/>
    <x v="4"/>
    <x v="2"/>
    <n v="65"/>
    <n v="66"/>
    <n v="77"/>
    <n v="89"/>
    <n v="73"/>
    <n v="84"/>
    <n v="454"/>
    <n v="75.666666666666671"/>
    <s v="A"/>
    <n v="6"/>
  </r>
  <r>
    <s v="STU193"/>
    <s v="Grace Ekpo"/>
    <s v="Female"/>
    <x v="4"/>
    <x v="0"/>
    <n v="55"/>
    <n v="61"/>
    <n v="59"/>
    <n v="63"/>
    <n v="85"/>
    <n v="83"/>
    <n v="406"/>
    <n v="67.666666666666671"/>
    <s v="B"/>
    <n v="9"/>
  </r>
  <r>
    <s v="STU193"/>
    <s v="Grace Ekpo"/>
    <s v="Female"/>
    <x v="4"/>
    <x v="1"/>
    <n v="59"/>
    <n v="69"/>
    <n v="84"/>
    <n v="59"/>
    <n v="76"/>
    <n v="89"/>
    <n v="436"/>
    <n v="72.666666666666671"/>
    <s v="A"/>
    <n v="7"/>
  </r>
  <r>
    <s v="STU194"/>
    <s v="Obiageli Ojo"/>
    <s v="Female"/>
    <x v="4"/>
    <x v="2"/>
    <n v="58"/>
    <n v="67"/>
    <n v="61"/>
    <n v="64"/>
    <n v="77"/>
    <n v="69"/>
    <n v="396"/>
    <n v="66"/>
    <s v="B"/>
    <n v="17"/>
  </r>
  <r>
    <s v="STU194"/>
    <s v="Obiageli Ojo"/>
    <s v="Female"/>
    <x v="4"/>
    <x v="0"/>
    <n v="46"/>
    <n v="60"/>
    <n v="61"/>
    <n v="58"/>
    <n v="59"/>
    <n v="69"/>
    <n v="353"/>
    <n v="58.833333333333336"/>
    <s v="C"/>
    <n v="20"/>
  </r>
  <r>
    <s v="STU194"/>
    <s v="Obiageli Ojo"/>
    <s v="Female"/>
    <x v="4"/>
    <x v="1"/>
    <n v="60"/>
    <n v="53"/>
    <n v="54"/>
    <n v="66"/>
    <n v="53"/>
    <n v="59"/>
    <n v="345"/>
    <n v="57.5"/>
    <s v="C"/>
    <n v="25"/>
  </r>
  <r>
    <s v="STU195"/>
    <s v="Gbenga Oladipo"/>
    <s v="Male"/>
    <x v="4"/>
    <x v="2"/>
    <n v="39"/>
    <n v="54"/>
    <n v="41"/>
    <n v="53"/>
    <n v="54"/>
    <n v="58"/>
    <n v="299"/>
    <n v="49.833333333333336"/>
    <s v="D"/>
    <n v="33"/>
  </r>
  <r>
    <s v="STU195"/>
    <s v="Gbenga Oladipo"/>
    <s v="Male"/>
    <x v="4"/>
    <x v="0"/>
    <n v="39"/>
    <n v="34"/>
    <n v="50"/>
    <n v="49"/>
    <n v="50"/>
    <n v="54"/>
    <n v="276"/>
    <n v="46"/>
    <s v="D"/>
    <n v="31"/>
  </r>
  <r>
    <s v="STU195"/>
    <s v="Gbenga Oladipo"/>
    <s v="Male"/>
    <x v="4"/>
    <x v="1"/>
    <n v="37"/>
    <n v="52"/>
    <n v="46"/>
    <n v="70"/>
    <n v="48"/>
    <n v="57"/>
    <n v="310"/>
    <n v="51.666666666666664"/>
    <s v="C"/>
    <n v="32"/>
  </r>
  <r>
    <s v="STU196"/>
    <s v="Musa Nwankwo"/>
    <s v="Male"/>
    <x v="4"/>
    <x v="2"/>
    <n v="55"/>
    <n v="65"/>
    <n v="61"/>
    <n v="75"/>
    <n v="63"/>
    <n v="76"/>
    <n v="395"/>
    <n v="65.833333333333329"/>
    <s v="B"/>
    <n v="18"/>
  </r>
  <r>
    <s v="STU196"/>
    <s v="Musa Nwankwo"/>
    <s v="Male"/>
    <x v="4"/>
    <x v="0"/>
    <n v="24"/>
    <n v="47"/>
    <n v="42"/>
    <n v="54"/>
    <n v="41"/>
    <n v="48"/>
    <n v="256"/>
    <n v="42.666666666666664"/>
    <s v="E"/>
    <n v="34"/>
  </r>
  <r>
    <s v="STU196"/>
    <s v="Musa Nwankwo"/>
    <s v="Male"/>
    <x v="4"/>
    <x v="1"/>
    <n v="38"/>
    <n v="45"/>
    <n v="53"/>
    <n v="58"/>
    <n v="54"/>
    <n v="58"/>
    <n v="306"/>
    <n v="51"/>
    <s v="C"/>
    <n v="33"/>
  </r>
  <r>
    <s v="STU197"/>
    <s v="Ngozi Suleiman"/>
    <s v="Female"/>
    <x v="4"/>
    <x v="2"/>
    <n v="46"/>
    <n v="70"/>
    <n v="57"/>
    <n v="66"/>
    <n v="69"/>
    <n v="62"/>
    <n v="370"/>
    <n v="61.666666666666664"/>
    <s v="B"/>
    <n v="25"/>
  </r>
  <r>
    <s v="STU197"/>
    <s v="Ngozi Suleiman"/>
    <s v="Female"/>
    <x v="4"/>
    <x v="0"/>
    <n v="46"/>
    <n v="58"/>
    <n v="54"/>
    <n v="63"/>
    <n v="59"/>
    <n v="73"/>
    <n v="353"/>
    <n v="58.833333333333336"/>
    <s v="C"/>
    <n v="20"/>
  </r>
  <r>
    <s v="STU197"/>
    <s v="Ngozi Suleiman"/>
    <s v="Female"/>
    <x v="4"/>
    <x v="1"/>
    <n v="38"/>
    <n v="64"/>
    <n v="61"/>
    <n v="66"/>
    <n v="74"/>
    <n v="73"/>
    <n v="376"/>
    <n v="62.666666666666664"/>
    <s v="B"/>
    <n v="16"/>
  </r>
  <r>
    <s v="STU198"/>
    <s v="Aisha Salami"/>
    <s v="Female"/>
    <x v="4"/>
    <x v="2"/>
    <n v="63"/>
    <n v="57"/>
    <n v="56"/>
    <n v="61"/>
    <n v="64"/>
    <n v="52"/>
    <n v="353"/>
    <n v="58.833333333333336"/>
    <s v="C"/>
    <n v="26"/>
  </r>
  <r>
    <s v="STU198"/>
    <s v="Aisha Salami"/>
    <s v="Female"/>
    <x v="4"/>
    <x v="0"/>
    <n v="32"/>
    <n v="49"/>
    <n v="47"/>
    <n v="47"/>
    <n v="45"/>
    <n v="54"/>
    <n v="274"/>
    <n v="45.666666666666664"/>
    <s v="D"/>
    <n v="32"/>
  </r>
  <r>
    <s v="STU198"/>
    <s v="Aisha Salami"/>
    <s v="Female"/>
    <x v="4"/>
    <x v="1"/>
    <n v="44"/>
    <n v="52"/>
    <n v="63"/>
    <n v="60"/>
    <n v="66"/>
    <n v="54"/>
    <n v="339"/>
    <n v="56.5"/>
    <s v="C"/>
    <n v="27"/>
  </r>
  <r>
    <s v="STU199"/>
    <s v="Obiageli Okonkwo"/>
    <s v="Female"/>
    <x v="4"/>
    <x v="2"/>
    <n v="29"/>
    <n v="48"/>
    <n v="53"/>
    <n v="49"/>
    <n v="49"/>
    <n v="57"/>
    <n v="285"/>
    <n v="47.5"/>
    <s v="D"/>
    <n v="36"/>
  </r>
  <r>
    <s v="STU199"/>
    <s v="Obiageli Okonkwo"/>
    <s v="Female"/>
    <x v="4"/>
    <x v="0"/>
    <n v="32"/>
    <n v="42"/>
    <n v="46"/>
    <n v="44"/>
    <n v="37"/>
    <n v="34"/>
    <n v="235"/>
    <n v="39.166666666666664"/>
    <s v="F"/>
    <n v="36"/>
  </r>
  <r>
    <s v="STU199"/>
    <s v="Obiageli Okonkwo"/>
    <s v="Female"/>
    <x v="4"/>
    <x v="1"/>
    <n v="39"/>
    <n v="30"/>
    <n v="40"/>
    <n v="49"/>
    <n v="47"/>
    <n v="47"/>
    <n v="252"/>
    <n v="42"/>
    <s v="E"/>
    <n v="38"/>
  </r>
  <r>
    <s v="STU200"/>
    <s v="Kelechi Williams"/>
    <s v="Male"/>
    <x v="4"/>
    <x v="2"/>
    <n v="66"/>
    <n v="86"/>
    <n v="76"/>
    <n v="92"/>
    <n v="95"/>
    <n v="75"/>
    <n v="490"/>
    <n v="81.666666666666671"/>
    <s v="A"/>
    <n v="4"/>
  </r>
  <r>
    <s v="STU200"/>
    <s v="Kelechi Williams"/>
    <s v="Male"/>
    <x v="4"/>
    <x v="0"/>
    <n v="58"/>
    <n v="66"/>
    <n v="51"/>
    <n v="59"/>
    <n v="66"/>
    <n v="73"/>
    <n v="373"/>
    <n v="62.166666666666664"/>
    <s v="B"/>
    <n v="13"/>
  </r>
  <r>
    <s v="STU200"/>
    <s v="Kelechi Williams"/>
    <s v="Male"/>
    <x v="4"/>
    <x v="1"/>
    <n v="73"/>
    <n v="65"/>
    <n v="73"/>
    <n v="81"/>
    <n v="75"/>
    <n v="73"/>
    <n v="440"/>
    <n v="73.333333333333329"/>
    <s v="A"/>
    <n v="6"/>
  </r>
  <r>
    <s v="STU201"/>
    <s v="Ifeoma Yakubu"/>
    <s v="Female"/>
    <x v="5"/>
    <x v="0"/>
    <n v="35"/>
    <n v="44"/>
    <n v="35"/>
    <n v="42"/>
    <n v="59"/>
    <n v="46"/>
    <n v="261"/>
    <n v="43.5"/>
    <s v="E"/>
    <n v="37"/>
  </r>
  <r>
    <s v="STU201"/>
    <s v="Ifeoma Yakubu"/>
    <s v="Female"/>
    <x v="5"/>
    <x v="1"/>
    <n v="42"/>
    <n v="33"/>
    <n v="40"/>
    <n v="44"/>
    <n v="45"/>
    <n v="52"/>
    <n v="256"/>
    <n v="42.666666666666664"/>
    <s v="E"/>
    <n v="37"/>
  </r>
  <r>
    <s v="STU201"/>
    <s v="Ifeoma Yakubu"/>
    <s v="Female"/>
    <x v="5"/>
    <x v="2"/>
    <n v="42"/>
    <n v="39"/>
    <n v="43"/>
    <n v="57"/>
    <n v="45"/>
    <n v="69"/>
    <n v="295"/>
    <n v="49.166666666666664"/>
    <s v="D"/>
    <n v="37"/>
  </r>
  <r>
    <s v="STU202"/>
    <s v="Ibrahim Nwankwo"/>
    <s v="Male"/>
    <x v="5"/>
    <x v="0"/>
    <n v="68"/>
    <n v="61"/>
    <n v="47"/>
    <n v="52"/>
    <n v="63"/>
    <n v="65"/>
    <n v="356"/>
    <n v="59.333333333333336"/>
    <s v="C"/>
    <n v="19"/>
  </r>
  <r>
    <s v="STU202"/>
    <s v="Ibrahim Nwankwo"/>
    <s v="Male"/>
    <x v="5"/>
    <x v="1"/>
    <n v="58"/>
    <n v="83"/>
    <n v="76"/>
    <n v="80"/>
    <n v="70"/>
    <n v="83"/>
    <n v="450"/>
    <n v="75"/>
    <s v="A"/>
    <n v="9"/>
  </r>
  <r>
    <s v="STU202"/>
    <s v="Ibrahim Nwankwo"/>
    <s v="Male"/>
    <x v="5"/>
    <x v="2"/>
    <n v="71"/>
    <n v="78"/>
    <n v="78"/>
    <n v="98"/>
    <n v="71"/>
    <n v="82"/>
    <n v="478"/>
    <n v="79.666666666666671"/>
    <s v="A"/>
    <n v="8"/>
  </r>
  <r>
    <s v="STU203"/>
    <s v="Sani Ogbonna"/>
    <s v="Male"/>
    <x v="5"/>
    <x v="0"/>
    <n v="36"/>
    <n v="59"/>
    <n v="54"/>
    <n v="73"/>
    <n v="63"/>
    <n v="51"/>
    <n v="336"/>
    <n v="56"/>
    <s v="C"/>
    <n v="29"/>
  </r>
  <r>
    <s v="STU203"/>
    <s v="Sani Ogbonna"/>
    <s v="Male"/>
    <x v="5"/>
    <x v="1"/>
    <n v="43"/>
    <m/>
    <n v="39"/>
    <n v="67"/>
    <n v="55"/>
    <n v="62"/>
    <n v="266"/>
    <n v="53.2"/>
    <s v="C"/>
    <n v="36"/>
  </r>
  <r>
    <s v="STU203"/>
    <s v="Sani Ogbonna"/>
    <s v="Male"/>
    <x v="5"/>
    <x v="2"/>
    <n v="54"/>
    <n v="51"/>
    <n v="52"/>
    <n v="62"/>
    <n v="76"/>
    <n v="70"/>
    <n v="365"/>
    <n v="60.833333333333336"/>
    <s v="B"/>
    <n v="30"/>
  </r>
  <r>
    <s v="STU204"/>
    <s v="Chiamaka Ogundipe"/>
    <s v="Female"/>
    <x v="5"/>
    <x v="0"/>
    <n v="23"/>
    <n v="34"/>
    <n v="27"/>
    <n v="38"/>
    <n v="31"/>
    <n v="38"/>
    <n v="191"/>
    <n v="31.833333333333332"/>
    <s v="F"/>
    <n v="39"/>
  </r>
  <r>
    <s v="STU204"/>
    <s v="Chiamaka Ogundipe"/>
    <s v="Female"/>
    <x v="5"/>
    <x v="1"/>
    <n v="40"/>
    <n v="25"/>
    <n v="37"/>
    <n v="34"/>
    <n v="42"/>
    <n v="38"/>
    <n v="216"/>
    <n v="36"/>
    <s v="F"/>
    <n v="38"/>
  </r>
  <r>
    <s v="STU204"/>
    <s v="Chiamaka Ogundipe"/>
    <s v="Female"/>
    <x v="5"/>
    <x v="2"/>
    <n v="26"/>
    <n v="33"/>
    <n v="40"/>
    <n v="43"/>
    <n v="38"/>
    <n v="49"/>
    <n v="229"/>
    <n v="38.166666666666664"/>
    <s v="F"/>
    <n v="38"/>
  </r>
  <r>
    <s v="STU205"/>
    <s v="Tobi Oyewole"/>
    <s v="Male"/>
    <x v="5"/>
    <x v="0"/>
    <n v="68"/>
    <n v="73"/>
    <n v="72"/>
    <n v="59"/>
    <n v="81"/>
    <n v="63"/>
    <n v="416"/>
    <n v="69.333333333333329"/>
    <s v="B"/>
    <n v="12"/>
  </r>
  <r>
    <s v="STU205"/>
    <s v="Tobi Oyewole"/>
    <s v="Male"/>
    <x v="5"/>
    <x v="1"/>
    <m/>
    <n v="76"/>
    <n v="55"/>
    <n v="75"/>
    <n v="83"/>
    <n v="79"/>
    <n v="368"/>
    <n v="73.599999999999994"/>
    <s v="A"/>
    <n v="10"/>
  </r>
  <r>
    <s v="STU205"/>
    <s v="Tobi Oyewole"/>
    <s v="Male"/>
    <x v="5"/>
    <x v="2"/>
    <n v="77"/>
    <n v="74"/>
    <n v="64"/>
    <n v="81"/>
    <n v="73"/>
    <n v="81"/>
    <n v="450"/>
    <n v="75"/>
    <s v="A"/>
    <n v="14"/>
  </r>
  <r>
    <s v="STU206"/>
    <s v="Aminu Abubakar"/>
    <s v="Male"/>
    <x v="5"/>
    <x v="0"/>
    <n v="45"/>
    <n v="58"/>
    <n v="49"/>
    <n v="57"/>
    <n v="77"/>
    <n v="63"/>
    <n v="349"/>
    <n v="58.166666666666664"/>
    <s v="C"/>
    <n v="22"/>
  </r>
  <r>
    <s v="STU206"/>
    <s v="Aminu Abubakar"/>
    <s v="Male"/>
    <x v="5"/>
    <x v="1"/>
    <n v="58"/>
    <n v="75"/>
    <n v="67"/>
    <n v="79"/>
    <n v="73"/>
    <n v="75"/>
    <n v="427"/>
    <n v="71.166666666666671"/>
    <s v="A"/>
    <n v="12"/>
  </r>
  <r>
    <s v="STU206"/>
    <s v="Aminu Abubakar"/>
    <s v="Male"/>
    <x v="5"/>
    <x v="2"/>
    <n v="67"/>
    <n v="85"/>
    <n v="75"/>
    <n v="78"/>
    <n v="94"/>
    <n v="66"/>
    <n v="465"/>
    <n v="77.5"/>
    <s v="A"/>
    <n v="9"/>
  </r>
  <r>
    <s v="STU207"/>
    <s v="Michael Ojo"/>
    <s v="Male"/>
    <x v="5"/>
    <x v="2"/>
    <n v="84"/>
    <n v="69"/>
    <n v="80"/>
    <n v="80"/>
    <n v="91"/>
    <n v="89"/>
    <n v="493"/>
    <n v="82.166666666666671"/>
    <s v="A"/>
    <n v="5"/>
  </r>
  <r>
    <s v="STU207"/>
    <s v="Michael Ojo"/>
    <s v="Male"/>
    <x v="5"/>
    <x v="0"/>
    <n v="71"/>
    <n v="87"/>
    <n v="73"/>
    <n v="79"/>
    <n v="89"/>
    <n v="88"/>
    <n v="487"/>
    <n v="81.166666666666671"/>
    <s v="A"/>
    <n v="2"/>
  </r>
  <r>
    <s v="STU207"/>
    <s v="Michael Ojo"/>
    <s v="Male"/>
    <x v="5"/>
    <x v="1"/>
    <n v="82"/>
    <n v="79"/>
    <n v="81"/>
    <n v="82"/>
    <n v="80"/>
    <n v="82"/>
    <n v="486"/>
    <n v="81"/>
    <s v="A"/>
    <n v="4"/>
  </r>
  <r>
    <s v="STU208"/>
    <s v="David Olawale"/>
    <s v="Male"/>
    <x v="5"/>
    <x v="0"/>
    <n v="29"/>
    <n v="34"/>
    <n v="16"/>
    <n v="38"/>
    <n v="32"/>
    <n v="37"/>
    <n v="186"/>
    <n v="31"/>
    <s v="F"/>
    <n v="40"/>
  </r>
  <r>
    <s v="STU208"/>
    <s v="David Olawale"/>
    <s v="Male"/>
    <x v="5"/>
    <x v="1"/>
    <n v="19"/>
    <n v="30"/>
    <n v="41"/>
    <n v="29"/>
    <n v="47"/>
    <n v="29"/>
    <n v="195"/>
    <n v="32.5"/>
    <s v="F"/>
    <n v="39"/>
  </r>
  <r>
    <s v="STU208"/>
    <s v="David Olawale"/>
    <s v="Male"/>
    <x v="5"/>
    <x v="2"/>
    <n v="14"/>
    <n v="31"/>
    <n v="22"/>
    <n v="31"/>
    <n v="29"/>
    <n v="40"/>
    <n v="167"/>
    <n v="27.833333333333332"/>
    <s v="F"/>
    <n v="40"/>
  </r>
  <r>
    <s v="STU209"/>
    <s v="Kunle Thomas"/>
    <s v="Male"/>
    <x v="5"/>
    <x v="0"/>
    <n v="35"/>
    <n v="44"/>
    <n v="52"/>
    <n v="73"/>
    <n v="50"/>
    <n v="61"/>
    <n v="315"/>
    <n v="52.5"/>
    <s v="C"/>
    <n v="31"/>
  </r>
  <r>
    <s v="STU209"/>
    <s v="Kunle Thomas"/>
    <s v="Male"/>
    <x v="5"/>
    <x v="1"/>
    <n v="64"/>
    <n v="64"/>
    <n v="71"/>
    <n v="48"/>
    <n v="53"/>
    <n v="49"/>
    <n v="349"/>
    <n v="58.166666666666664"/>
    <s v="C"/>
    <n v="25"/>
  </r>
  <r>
    <s v="STU209"/>
    <s v="Kunle Thomas"/>
    <s v="Male"/>
    <x v="5"/>
    <x v="2"/>
    <n v="53"/>
    <n v="64"/>
    <n v="55"/>
    <n v="68"/>
    <n v="69"/>
    <n v="64"/>
    <n v="373"/>
    <n v="62.166666666666664"/>
    <s v="B"/>
    <n v="28"/>
  </r>
  <r>
    <s v="STU210"/>
    <s v="Mercy Afolabi"/>
    <s v="Female"/>
    <x v="5"/>
    <x v="0"/>
    <n v="61"/>
    <n v="59"/>
    <n v="56"/>
    <n v="74"/>
    <n v="81"/>
    <n v="76"/>
    <n v="407"/>
    <n v="67.833333333333329"/>
    <s v="B"/>
    <n v="14"/>
  </r>
  <r>
    <s v="STU210"/>
    <s v="Mercy Afolabi"/>
    <s v="Female"/>
    <x v="5"/>
    <x v="1"/>
    <n v="49"/>
    <n v="62"/>
    <n v="63"/>
    <n v="65"/>
    <n v="61"/>
    <n v="46"/>
    <n v="346"/>
    <n v="57.666666666666664"/>
    <s v="C"/>
    <n v="28"/>
  </r>
  <r>
    <s v="STU210"/>
    <s v="Mercy Afolabi"/>
    <s v="Female"/>
    <x v="5"/>
    <x v="2"/>
    <n v="52"/>
    <n v="53"/>
    <n v="52"/>
    <n v="52"/>
    <n v="42"/>
    <n v="58"/>
    <n v="309"/>
    <n v="51.5"/>
    <s v="C"/>
    <n v="36"/>
  </r>
  <r>
    <s v="STU211"/>
    <s v="Nkechi Okonkwo"/>
    <s v="Female"/>
    <x v="5"/>
    <x v="0"/>
    <n v="59"/>
    <n v="62"/>
    <n v="51"/>
    <n v="61"/>
    <n v="59"/>
    <n v="49"/>
    <n v="341"/>
    <n v="56.833333333333336"/>
    <s v="C"/>
    <n v="25"/>
  </r>
  <r>
    <s v="STU211"/>
    <s v="Nkechi Okonkwo"/>
    <s v="Female"/>
    <x v="5"/>
    <x v="1"/>
    <n v="60"/>
    <n v="75"/>
    <n v="76"/>
    <n v="66"/>
    <n v="73"/>
    <n v="58"/>
    <n v="408"/>
    <n v="68"/>
    <s v="B"/>
    <n v="15"/>
  </r>
  <r>
    <s v="STU211"/>
    <s v="Nkechi Okonkwo"/>
    <s v="Female"/>
    <x v="5"/>
    <x v="2"/>
    <n v="58"/>
    <n v="75"/>
    <n v="74"/>
    <n v="65"/>
    <n v="70"/>
    <n v="73"/>
    <n v="415"/>
    <n v="69.166666666666671"/>
    <s v="B"/>
    <n v="19"/>
  </r>
  <r>
    <s v="STU212"/>
    <s v="Chioma Adebayo"/>
    <s v="Female"/>
    <x v="5"/>
    <x v="0"/>
    <n v="55"/>
    <n v="54"/>
    <n v="54"/>
    <n v="66"/>
    <n v="63"/>
    <n v="54"/>
    <n v="346"/>
    <n v="57.666666666666664"/>
    <s v="C"/>
    <n v="24"/>
  </r>
  <r>
    <s v="STU212"/>
    <s v="Chioma Adebayo"/>
    <s v="Female"/>
    <x v="5"/>
    <x v="1"/>
    <n v="49"/>
    <n v="47"/>
    <n v="54"/>
    <n v="66"/>
    <n v="65"/>
    <n v="66"/>
    <n v="347"/>
    <n v="57.833333333333336"/>
    <s v="C"/>
    <n v="27"/>
  </r>
  <r>
    <s v="STU212"/>
    <s v="Chioma Adebayo"/>
    <s v="Female"/>
    <x v="5"/>
    <x v="2"/>
    <n v="52"/>
    <n v="61"/>
    <n v="54"/>
    <n v="63"/>
    <n v="59"/>
    <n v="64"/>
    <n v="353"/>
    <n v="58.833333333333336"/>
    <s v="C"/>
    <n v="32"/>
  </r>
  <r>
    <s v="STU213"/>
    <s v="Tolu Williams"/>
    <s v="Female"/>
    <x v="5"/>
    <x v="2"/>
    <n v="72"/>
    <n v="73"/>
    <n v="98"/>
    <n v="98"/>
    <n v="98"/>
    <n v="98"/>
    <n v="537"/>
    <n v="89.5"/>
    <s v="A"/>
    <n v="1"/>
  </r>
  <r>
    <s v="STU213"/>
    <s v="Tolu Williams"/>
    <s v="Female"/>
    <x v="5"/>
    <x v="0"/>
    <n v="80"/>
    <n v="92"/>
    <n v="90"/>
    <n v="84"/>
    <n v="81"/>
    <n v="89"/>
    <n v="516"/>
    <n v="86"/>
    <s v="A"/>
    <n v="1"/>
  </r>
  <r>
    <s v="STU213"/>
    <s v="Tolu Williams"/>
    <s v="Female"/>
    <x v="5"/>
    <x v="1"/>
    <n v="94"/>
    <n v="92"/>
    <n v="69"/>
    <n v="95"/>
    <n v="84"/>
    <n v="94"/>
    <n v="528"/>
    <n v="88"/>
    <s v="A"/>
    <n v="1"/>
  </r>
  <r>
    <s v="STU214"/>
    <s v="Amaka Nwankwo"/>
    <s v="Female"/>
    <x v="5"/>
    <x v="0"/>
    <n v="38"/>
    <n v="69"/>
    <n v="33"/>
    <n v="56"/>
    <n v="54"/>
    <n v="55"/>
    <n v="305"/>
    <n v="50.833333333333336"/>
    <s v="C"/>
    <n v="33"/>
  </r>
  <r>
    <s v="STU214"/>
    <s v="Amaka Nwankwo"/>
    <s v="Female"/>
    <x v="5"/>
    <x v="1"/>
    <n v="35"/>
    <n v="47"/>
    <n v="53"/>
    <n v="70"/>
    <n v="55"/>
    <n v="67"/>
    <n v="327"/>
    <n v="54.5"/>
    <s v="C"/>
    <n v="34"/>
  </r>
  <r>
    <s v="STU214"/>
    <s v="Amaka Nwankwo"/>
    <s v="Female"/>
    <x v="5"/>
    <x v="2"/>
    <n v="58"/>
    <n v="67"/>
    <n v="55"/>
    <n v="72"/>
    <n v="57"/>
    <n v="71"/>
    <n v="380"/>
    <n v="63.333333333333336"/>
    <s v="B"/>
    <n v="25"/>
  </r>
  <r>
    <s v="STU215"/>
    <s v="Uchenna Oyewole"/>
    <s v="Male"/>
    <x v="5"/>
    <x v="0"/>
    <n v="49"/>
    <n v="55"/>
    <n v="54"/>
    <n v="52"/>
    <n v="58"/>
    <n v="69"/>
    <n v="337"/>
    <n v="56.166666666666664"/>
    <s v="C"/>
    <n v="27"/>
  </r>
  <r>
    <s v="STU215"/>
    <s v="Uchenna Oyewole"/>
    <s v="Male"/>
    <x v="5"/>
    <x v="1"/>
    <n v="59"/>
    <n v="60"/>
    <n v="66"/>
    <n v="53"/>
    <n v="64"/>
    <n v="72"/>
    <n v="374"/>
    <n v="62.333333333333336"/>
    <s v="B"/>
    <n v="22"/>
  </r>
  <r>
    <s v="STU215"/>
    <s v="Uchenna Oyewole"/>
    <s v="Male"/>
    <x v="5"/>
    <x v="2"/>
    <n v="61"/>
    <n v="61"/>
    <n v="75"/>
    <n v="66"/>
    <n v="57"/>
    <n v="69"/>
    <n v="389"/>
    <n v="64.833333333333329"/>
    <s v="B"/>
    <n v="23"/>
  </r>
  <r>
    <s v="STU216"/>
    <s v="Adesua Nwosu"/>
    <s v="Female"/>
    <x v="5"/>
    <x v="2"/>
    <n v="74"/>
    <n v="87"/>
    <n v="78"/>
    <n v="89"/>
    <n v="80"/>
    <n v="90"/>
    <n v="498"/>
    <n v="83"/>
    <s v="A"/>
    <n v="4"/>
  </r>
  <r>
    <s v="STU216"/>
    <s v="Adesua Nwosu"/>
    <s v="Female"/>
    <x v="5"/>
    <x v="0"/>
    <n v="58"/>
    <n v="82"/>
    <n v="70"/>
    <n v="75"/>
    <n v="80"/>
    <n v="80"/>
    <n v="445"/>
    <n v="74.166666666666671"/>
    <s v="A"/>
    <n v="6"/>
  </r>
  <r>
    <s v="STU216"/>
    <s v="Adesua Nwosu"/>
    <s v="Female"/>
    <x v="5"/>
    <x v="1"/>
    <n v="60"/>
    <n v="65"/>
    <n v="76"/>
    <n v="85"/>
    <n v="88"/>
    <n v="85"/>
    <n v="459"/>
    <n v="76.5"/>
    <s v="A"/>
    <n v="7"/>
  </r>
  <r>
    <s v="STU217"/>
    <s v="Tunde Oladipo"/>
    <s v="Male"/>
    <x v="5"/>
    <x v="2"/>
    <n v="70"/>
    <n v="78"/>
    <n v="66"/>
    <n v="77"/>
    <n v="82"/>
    <n v="83"/>
    <n v="456"/>
    <n v="76"/>
    <s v="A"/>
    <n v="12"/>
  </r>
  <r>
    <s v="STU217"/>
    <s v="Tunde Oladipo"/>
    <s v="Male"/>
    <x v="5"/>
    <x v="0"/>
    <n v="51"/>
    <n v="83"/>
    <n v="65"/>
    <n v="80"/>
    <n v="71"/>
    <n v="76"/>
    <n v="426"/>
    <n v="71"/>
    <s v="A"/>
    <n v="11"/>
  </r>
  <r>
    <s v="STU217"/>
    <s v="Tunde Oladipo"/>
    <s v="Male"/>
    <x v="5"/>
    <x v="1"/>
    <n v="66"/>
    <n v="66"/>
    <n v="66"/>
    <n v="72"/>
    <n v="80"/>
    <n v="72"/>
    <n v="422"/>
    <n v="70.333333333333329"/>
    <s v="A"/>
    <n v="13"/>
  </r>
  <r>
    <s v="STU218"/>
    <s v="Precious Aliyu"/>
    <s v="Female"/>
    <x v="5"/>
    <x v="2"/>
    <n v="85"/>
    <n v="80"/>
    <n v="71"/>
    <n v="86"/>
    <n v="86"/>
    <n v="73"/>
    <n v="481"/>
    <n v="80.166666666666671"/>
    <s v="A"/>
    <n v="7"/>
  </r>
  <r>
    <s v="STU218"/>
    <s v="Precious Aliyu"/>
    <s v="Female"/>
    <x v="5"/>
    <x v="0"/>
    <n v="70"/>
    <n v="85"/>
    <n v="65"/>
    <n v="91"/>
    <n v="71"/>
    <n v="75"/>
    <n v="457"/>
    <n v="76.166666666666671"/>
    <s v="A"/>
    <n v="5"/>
  </r>
  <r>
    <s v="STU218"/>
    <s v="Precious Aliyu"/>
    <s v="Female"/>
    <x v="5"/>
    <x v="1"/>
    <n v="74"/>
    <n v="91"/>
    <n v="67"/>
    <n v="68"/>
    <n v="80"/>
    <n v="78"/>
    <n v="458"/>
    <n v="76.333333333333329"/>
    <s v="A"/>
    <n v="8"/>
  </r>
  <r>
    <s v="STU219"/>
    <s v="Nnamdi Onyeka"/>
    <s v="Male"/>
    <x v="5"/>
    <x v="2"/>
    <n v="48"/>
    <n v="76"/>
    <n v="63"/>
    <n v="83"/>
    <n v="84"/>
    <n v="75"/>
    <n v="429"/>
    <n v="71.5"/>
    <s v="A"/>
    <n v="17"/>
  </r>
  <r>
    <s v="STU219"/>
    <s v="Nnamdi Onyeka"/>
    <s v="Male"/>
    <x v="5"/>
    <x v="0"/>
    <n v="79"/>
    <n v="70"/>
    <n v="63"/>
    <n v="68"/>
    <n v="83"/>
    <n v="74"/>
    <n v="437"/>
    <n v="72.833333333333329"/>
    <s v="A"/>
    <n v="7"/>
  </r>
  <r>
    <s v="STU219"/>
    <s v="Nnamdi Onyeka"/>
    <s v="Male"/>
    <x v="5"/>
    <x v="1"/>
    <n v="67"/>
    <n v="59"/>
    <n v="65"/>
    <n v="63"/>
    <n v="77"/>
    <n v="81"/>
    <n v="412"/>
    <n v="68.666666666666671"/>
    <s v="B"/>
    <n v="14"/>
  </r>
  <r>
    <s v="STU220"/>
    <s v="Daniel Oyewole"/>
    <s v="Male"/>
    <x v="5"/>
    <x v="2"/>
    <n v="91"/>
    <n v="81"/>
    <n v="80"/>
    <n v="94"/>
    <n v="92"/>
    <n v="98"/>
    <n v="536"/>
    <n v="89.333333333333329"/>
    <s v="A"/>
    <n v="2"/>
  </r>
  <r>
    <s v="STU220"/>
    <s v="Daniel Oyewole"/>
    <s v="Male"/>
    <x v="5"/>
    <x v="0"/>
    <n v="64"/>
    <n v="72"/>
    <n v="69"/>
    <n v="87"/>
    <n v="76"/>
    <n v="66"/>
    <n v="434"/>
    <n v="72.333333333333329"/>
    <s v="A"/>
    <n v="9"/>
  </r>
  <r>
    <s v="STU220"/>
    <s v="Daniel Oyewole"/>
    <s v="Male"/>
    <x v="5"/>
    <x v="1"/>
    <n v="72"/>
    <n v="79"/>
    <n v="75"/>
    <n v="79"/>
    <n v="89"/>
    <n v="98"/>
    <n v="492"/>
    <n v="82"/>
    <s v="A"/>
    <n v="3"/>
  </r>
  <r>
    <s v="STU221"/>
    <s v="Damilola Johnson"/>
    <s v="Female"/>
    <x v="5"/>
    <x v="0"/>
    <n v="63"/>
    <n v="60"/>
    <n v="53"/>
    <n v="70"/>
    <n v="82"/>
    <n v="66"/>
    <n v="394"/>
    <n v="65.666666666666671"/>
    <s v="B"/>
    <n v="15"/>
  </r>
  <r>
    <s v="STU221"/>
    <s v="Damilola Johnson"/>
    <s v="Female"/>
    <x v="5"/>
    <x v="1"/>
    <n v="56"/>
    <n v="63"/>
    <n v="55"/>
    <n v="72"/>
    <n v="74"/>
    <n v="68"/>
    <n v="388"/>
    <n v="64.666666666666671"/>
    <s v="B"/>
    <n v="21"/>
  </r>
  <r>
    <s v="STU221"/>
    <s v="Damilola Johnson"/>
    <s v="Female"/>
    <x v="5"/>
    <x v="2"/>
    <n v="39"/>
    <n v="54"/>
    <n v="55"/>
    <n v="61"/>
    <n v="61"/>
    <n v="64"/>
    <n v="334"/>
    <n v="55.666666666666664"/>
    <s v="C"/>
    <n v="33"/>
  </r>
  <r>
    <s v="STU222"/>
    <s v="Samuel Chukwu"/>
    <s v="Male"/>
    <x v="5"/>
    <x v="0"/>
    <n v="35"/>
    <n v="46"/>
    <n v="50"/>
    <n v="44"/>
    <n v="54"/>
    <n v="56"/>
    <n v="285"/>
    <n v="47.5"/>
    <s v="D"/>
    <n v="36"/>
  </r>
  <r>
    <s v="STU222"/>
    <s v="Samuel Chukwu"/>
    <s v="Male"/>
    <x v="5"/>
    <x v="1"/>
    <n v="54"/>
    <n v="51"/>
    <n v="38"/>
    <n v="59"/>
    <n v="69"/>
    <n v="70"/>
    <n v="341"/>
    <n v="56.833333333333336"/>
    <s v="C"/>
    <n v="30"/>
  </r>
  <r>
    <s v="STU222"/>
    <s v="Samuel Chukwu"/>
    <s v="Male"/>
    <x v="5"/>
    <x v="2"/>
    <n v="60"/>
    <n v="72"/>
    <n v="55"/>
    <n v="69"/>
    <n v="59"/>
    <n v="62"/>
    <n v="377"/>
    <n v="62.833333333333336"/>
    <s v="B"/>
    <n v="27"/>
  </r>
  <r>
    <s v="STU223"/>
    <s v="Amaka Adebayo"/>
    <s v="Female"/>
    <x v="5"/>
    <x v="2"/>
    <n v="64"/>
    <n v="59"/>
    <n v="69"/>
    <n v="76"/>
    <n v="80"/>
    <n v="62"/>
    <n v="410"/>
    <n v="68.333333333333329"/>
    <s v="B"/>
    <n v="20"/>
  </r>
  <r>
    <s v="STU223"/>
    <s v="Amaka Adebayo"/>
    <s v="Female"/>
    <x v="5"/>
    <x v="0"/>
    <n v="53"/>
    <n v="54"/>
    <n v="48"/>
    <n v="65"/>
    <n v="62"/>
    <n v="72"/>
    <n v="354"/>
    <n v="59"/>
    <s v="C"/>
    <n v="20"/>
  </r>
  <r>
    <s v="STU223"/>
    <s v="Amaka Adebayo"/>
    <s v="Female"/>
    <x v="5"/>
    <x v="1"/>
    <n v="44"/>
    <n v="56"/>
    <n v="54"/>
    <n v="61"/>
    <n v="68"/>
    <n v="57"/>
    <n v="340"/>
    <n v="56.666666666666664"/>
    <s v="C"/>
    <n v="32"/>
  </r>
  <r>
    <s v="STU224"/>
    <s v="Joy Ekpo"/>
    <s v="Female"/>
    <x v="5"/>
    <x v="0"/>
    <n v="41"/>
    <n v="55"/>
    <n v="54"/>
    <n v="50"/>
    <n v="59"/>
    <n v="56"/>
    <n v="315"/>
    <n v="52.5"/>
    <s v="C"/>
    <n v="31"/>
  </r>
  <r>
    <s v="STU224"/>
    <s v="Joy Ekpo"/>
    <s v="Female"/>
    <x v="5"/>
    <x v="1"/>
    <n v="45"/>
    <n v="51"/>
    <n v="62"/>
    <n v="58"/>
    <n v="57"/>
    <n v="75"/>
    <n v="348"/>
    <n v="58"/>
    <s v="C"/>
    <n v="26"/>
  </r>
  <r>
    <s v="STU224"/>
    <s v="Joy Ekpo"/>
    <s v="Female"/>
    <x v="5"/>
    <x v="2"/>
    <n v="56"/>
    <n v="52"/>
    <n v="60"/>
    <n v="62"/>
    <n v="62"/>
    <n v="69"/>
    <n v="361"/>
    <n v="60.166666666666664"/>
    <s v="B"/>
    <n v="31"/>
  </r>
  <r>
    <s v="STU225"/>
    <s v="Joy Ojo"/>
    <s v="Female"/>
    <x v="5"/>
    <x v="2"/>
    <n v="57"/>
    <n v="71"/>
    <n v="77"/>
    <n v="81"/>
    <n v="81"/>
    <n v="75"/>
    <n v="442"/>
    <n v="73.666666666666671"/>
    <s v="A"/>
    <n v="16"/>
  </r>
  <r>
    <s v="STU225"/>
    <s v="Joy Ojo"/>
    <s v="Female"/>
    <x v="5"/>
    <x v="0"/>
    <n v="34"/>
    <n v="57"/>
    <n v="46"/>
    <n v="62"/>
    <n v="63"/>
    <n v="43"/>
    <n v="305"/>
    <n v="50.833333333333336"/>
    <s v="C"/>
    <n v="33"/>
  </r>
  <r>
    <s v="STU225"/>
    <s v="Joy Ojo"/>
    <s v="Female"/>
    <x v="5"/>
    <x v="1"/>
    <n v="60"/>
    <n v="67"/>
    <n v="62"/>
    <n v="60"/>
    <n v="75"/>
    <n v="74"/>
    <n v="398"/>
    <n v="66.333333333333329"/>
    <s v="B"/>
    <n v="19"/>
  </r>
  <r>
    <s v="STU226"/>
    <s v="Nnamdi Nwankwo"/>
    <s v="Male"/>
    <x v="5"/>
    <x v="2"/>
    <n v="63"/>
    <n v="65"/>
    <n v="66"/>
    <n v="72"/>
    <n v="71"/>
    <n v="88"/>
    <n v="425"/>
    <n v="70.833333333333329"/>
    <s v="A"/>
    <n v="18"/>
  </r>
  <r>
    <s v="STU226"/>
    <s v="Nnamdi Nwankwo"/>
    <s v="Male"/>
    <x v="5"/>
    <x v="0"/>
    <n v="56"/>
    <n v="64"/>
    <n v="66"/>
    <n v="61"/>
    <n v="61"/>
    <n v="63"/>
    <n v="371"/>
    <n v="61.833333333333336"/>
    <s v="B"/>
    <n v="18"/>
  </r>
  <r>
    <s v="STU226"/>
    <s v="Nnamdi Nwankwo"/>
    <s v="Male"/>
    <x v="5"/>
    <x v="1"/>
    <n v="53"/>
    <n v="60"/>
    <n v="58"/>
    <n v="59"/>
    <n v="63"/>
    <n v="64"/>
    <n v="357"/>
    <n v="59.5"/>
    <s v="C"/>
    <n v="23"/>
  </r>
  <r>
    <s v="STU227"/>
    <s v="Grace Musa"/>
    <s v="Female"/>
    <x v="5"/>
    <x v="2"/>
    <n v="66"/>
    <n v="62"/>
    <n v="65"/>
    <n v="72"/>
    <n v="57"/>
    <n v="78"/>
    <n v="400"/>
    <n v="66.666666666666671"/>
    <s v="B"/>
    <n v="22"/>
  </r>
  <r>
    <s v="STU227"/>
    <s v="Grace Musa"/>
    <s v="Female"/>
    <x v="5"/>
    <x v="0"/>
    <n v="69"/>
    <n v="57"/>
    <n v="57"/>
    <n v="78"/>
    <n v="80"/>
    <n v="72"/>
    <n v="413"/>
    <n v="68.833333333333329"/>
    <s v="B"/>
    <n v="13"/>
  </r>
  <r>
    <s v="STU227"/>
    <s v="Grace Musa"/>
    <s v="Female"/>
    <x v="5"/>
    <x v="1"/>
    <n v="63"/>
    <n v="67"/>
    <n v="64"/>
    <n v="76"/>
    <n v="65"/>
    <n v="69"/>
    <n v="404"/>
    <n v="67.333333333333329"/>
    <s v="B"/>
    <n v="16"/>
  </r>
  <r>
    <s v="STU228"/>
    <s v="Tolu Amadi"/>
    <s v="Female"/>
    <x v="5"/>
    <x v="2"/>
    <n v="68"/>
    <n v="90"/>
    <n v="79"/>
    <n v="67"/>
    <n v="74"/>
    <n v="87"/>
    <n v="465"/>
    <n v="77.5"/>
    <s v="A"/>
    <n v="9"/>
  </r>
  <r>
    <s v="STU228"/>
    <s v="Tolu Amadi"/>
    <s v="Female"/>
    <x v="5"/>
    <x v="0"/>
    <n v="67"/>
    <n v="86"/>
    <n v="89"/>
    <n v="65"/>
    <n v="77"/>
    <n v="76"/>
    <n v="460"/>
    <n v="76.666666666666671"/>
    <s v="A"/>
    <n v="4"/>
  </r>
  <r>
    <s v="STU228"/>
    <s v="Tolu Amadi"/>
    <s v="Female"/>
    <x v="5"/>
    <x v="1"/>
    <n v="65"/>
    <n v="64"/>
    <n v="62"/>
    <n v="61"/>
    <n v="71"/>
    <n v="81"/>
    <n v="404"/>
    <n v="67.333333333333329"/>
    <s v="B"/>
    <n v="16"/>
  </r>
  <r>
    <s v="STU229"/>
    <s v="Fatima Anyanwu"/>
    <s v="Female"/>
    <x v="5"/>
    <x v="0"/>
    <n v="49"/>
    <n v="52"/>
    <n v="40"/>
    <n v="52"/>
    <n v="38"/>
    <n v="66"/>
    <n v="297"/>
    <n v="49.5"/>
    <s v="D"/>
    <n v="35"/>
  </r>
  <r>
    <s v="STU229"/>
    <s v="Fatima Anyanwu"/>
    <s v="Female"/>
    <x v="5"/>
    <x v="1"/>
    <n v="54"/>
    <n v="59"/>
    <n v="51"/>
    <n v="49"/>
    <n v="58"/>
    <n v="66"/>
    <n v="337"/>
    <n v="56.166666666666664"/>
    <s v="C"/>
    <n v="33"/>
  </r>
  <r>
    <s v="STU229"/>
    <s v="Fatima Anyanwu"/>
    <s v="Female"/>
    <x v="5"/>
    <x v="2"/>
    <n v="64"/>
    <n v="56"/>
    <n v="47"/>
    <n v="66"/>
    <n v="70"/>
    <n v="65"/>
    <n v="368"/>
    <n v="61.333333333333336"/>
    <s v="B"/>
    <n v="29"/>
  </r>
  <r>
    <s v="STU230"/>
    <s v="Gbenga Uzor"/>
    <s v="Male"/>
    <x v="5"/>
    <x v="0"/>
    <n v="51"/>
    <n v="65"/>
    <n v="48"/>
    <n v="60"/>
    <n v="60"/>
    <n v="63"/>
    <n v="347"/>
    <n v="57.833333333333336"/>
    <s v="C"/>
    <n v="23"/>
  </r>
  <r>
    <s v="STU230"/>
    <s v="Gbenga Uzor"/>
    <s v="Male"/>
    <x v="5"/>
    <x v="1"/>
    <n v="48"/>
    <n v="60"/>
    <n v="50"/>
    <n v="44"/>
    <n v="59"/>
    <n v="61"/>
    <n v="322"/>
    <n v="53.666666666666664"/>
    <s v="C"/>
    <n v="35"/>
  </r>
  <r>
    <s v="STU230"/>
    <s v="Gbenga Uzor"/>
    <s v="Male"/>
    <x v="5"/>
    <x v="2"/>
    <n v="46"/>
    <n v="50"/>
    <n v="52"/>
    <n v="45"/>
    <n v="66"/>
    <n v="56"/>
    <n v="315"/>
    <n v="52.5"/>
    <s v="C"/>
    <n v="35"/>
  </r>
  <r>
    <s v="STU231"/>
    <s v="Bello Ezeh"/>
    <s v="Male"/>
    <x v="5"/>
    <x v="0"/>
    <n v="48"/>
    <n v="53"/>
    <n v="44"/>
    <n v="61"/>
    <n v="61"/>
    <n v="69"/>
    <n v="336"/>
    <n v="56"/>
    <s v="C"/>
    <n v="29"/>
  </r>
  <r>
    <s v="STU231"/>
    <s v="Bello Ezeh"/>
    <s v="Male"/>
    <x v="5"/>
    <x v="1"/>
    <n v="49"/>
    <n v="56"/>
    <n v="66"/>
    <n v="56"/>
    <n v="60"/>
    <n v="56"/>
    <n v="343"/>
    <n v="57.166666666666664"/>
    <s v="C"/>
    <n v="29"/>
  </r>
  <r>
    <s v="STU231"/>
    <s v="Bello Ezeh"/>
    <s v="Male"/>
    <x v="5"/>
    <x v="2"/>
    <n v="44"/>
    <n v="53"/>
    <n v="40"/>
    <n v="54"/>
    <n v="61"/>
    <n v="67"/>
    <n v="319"/>
    <n v="53.166666666666664"/>
    <s v="C"/>
    <n v="34"/>
  </r>
  <r>
    <s v="STU232"/>
    <s v="Amaka Ogbonna"/>
    <s v="Female"/>
    <x v="5"/>
    <x v="2"/>
    <n v="82"/>
    <n v="82"/>
    <n v="76"/>
    <n v="74"/>
    <n v="79"/>
    <n v="89"/>
    <n v="482"/>
    <n v="80.333333333333329"/>
    <s v="A"/>
    <n v="6"/>
  </r>
  <r>
    <s v="STU232"/>
    <s v="Amaka Ogbonna"/>
    <s v="Female"/>
    <x v="5"/>
    <x v="0"/>
    <n v="71"/>
    <n v="86"/>
    <n v="76"/>
    <n v="71"/>
    <n v="75"/>
    <n v="86"/>
    <n v="465"/>
    <n v="77.5"/>
    <s v="A"/>
    <n v="3"/>
  </r>
  <r>
    <s v="STU232"/>
    <s v="Amaka Ogbonna"/>
    <s v="Female"/>
    <x v="5"/>
    <x v="1"/>
    <n v="83"/>
    <n v="85"/>
    <n v="79"/>
    <n v="91"/>
    <n v="84"/>
    <n v="86"/>
    <n v="508"/>
    <n v="84.666666666666671"/>
    <s v="A"/>
    <n v="2"/>
  </r>
  <r>
    <s v="STU233"/>
    <s v="Ugochukwu Eke"/>
    <s v="Male"/>
    <x v="5"/>
    <x v="2"/>
    <n v="54"/>
    <n v="67"/>
    <n v="61"/>
    <n v="64"/>
    <n v="70"/>
    <n v="62"/>
    <n v="378"/>
    <n v="63"/>
    <s v="B"/>
    <n v="26"/>
  </r>
  <r>
    <s v="STU233"/>
    <s v="Ugochukwu Eke"/>
    <s v="Male"/>
    <x v="5"/>
    <x v="0"/>
    <n v="52"/>
    <n v="72"/>
    <n v="51"/>
    <n v="47"/>
    <n v="54"/>
    <n v="61"/>
    <n v="337"/>
    <n v="56.166666666666664"/>
    <s v="C"/>
    <n v="27"/>
  </r>
  <r>
    <s v="STU233"/>
    <s v="Ugochukwu Eke"/>
    <s v="Male"/>
    <x v="5"/>
    <x v="1"/>
    <n v="48"/>
    <n v="57"/>
    <n v="60"/>
    <n v="62"/>
    <n v="62"/>
    <n v="68"/>
    <n v="357"/>
    <n v="59.5"/>
    <s v="C"/>
    <n v="23"/>
  </r>
  <r>
    <s v="STU234"/>
    <s v="Daniel Nnadi"/>
    <s v="Male"/>
    <x v="5"/>
    <x v="2"/>
    <n v="82"/>
    <n v="81"/>
    <n v="77"/>
    <n v="88"/>
    <n v="90"/>
    <n v="98"/>
    <n v="516"/>
    <n v="86"/>
    <s v="A"/>
    <n v="3"/>
  </r>
  <r>
    <s v="STU234"/>
    <s v="Daniel Nnadi"/>
    <s v="Male"/>
    <x v="5"/>
    <x v="0"/>
    <n v="56"/>
    <n v="58"/>
    <n v="61"/>
    <n v="64"/>
    <n v="69"/>
    <n v="64"/>
    <n v="372"/>
    <n v="62"/>
    <s v="B"/>
    <n v="17"/>
  </r>
  <r>
    <s v="STU234"/>
    <s v="Daniel Nnadi"/>
    <s v="Male"/>
    <x v="5"/>
    <x v="1"/>
    <n v="59"/>
    <n v="85"/>
    <n v="87"/>
    <n v="88"/>
    <n v="79"/>
    <n v="65"/>
    <n v="463"/>
    <n v="77.166666666666671"/>
    <s v="A"/>
    <n v="5"/>
  </r>
  <r>
    <s v="STU235"/>
    <s v="Samuel Olawale"/>
    <s v="Male"/>
    <x v="5"/>
    <x v="2"/>
    <n v="70"/>
    <n v="71"/>
    <n v="76"/>
    <n v="70"/>
    <n v="82"/>
    <n v="85"/>
    <n v="454"/>
    <n v="75.666666666666671"/>
    <s v="A"/>
    <n v="13"/>
  </r>
  <r>
    <s v="STU235"/>
    <s v="Samuel Olawale"/>
    <s v="Male"/>
    <x v="5"/>
    <x v="0"/>
    <n v="79"/>
    <n v="73"/>
    <n v="64"/>
    <n v="75"/>
    <n v="65"/>
    <n v="74"/>
    <n v="430"/>
    <n v="71.666666666666671"/>
    <s v="A"/>
    <n v="10"/>
  </r>
  <r>
    <s v="STU235"/>
    <s v="Samuel Olawale"/>
    <s v="Male"/>
    <x v="5"/>
    <x v="1"/>
    <n v="57"/>
    <n v="77"/>
    <n v="78"/>
    <n v="72"/>
    <n v="78"/>
    <n v="79"/>
    <n v="441"/>
    <n v="73.5"/>
    <s v="A"/>
    <n v="11"/>
  </r>
  <r>
    <s v="STU236"/>
    <s v="Chiamaka Ajayi"/>
    <s v="Female"/>
    <x v="5"/>
    <x v="2"/>
    <n v="69"/>
    <n v="78"/>
    <n v="66"/>
    <n v="73"/>
    <n v="79"/>
    <n v="79"/>
    <n v="444"/>
    <n v="74"/>
    <s v="A"/>
    <n v="15"/>
  </r>
  <r>
    <s v="STU236"/>
    <s v="Chiamaka Ajayi"/>
    <s v="Female"/>
    <x v="5"/>
    <x v="0"/>
    <n v="63"/>
    <n v="73"/>
    <n v="68"/>
    <n v="77"/>
    <n v="78"/>
    <n v="77"/>
    <n v="436"/>
    <n v="72.666666666666671"/>
    <s v="A"/>
    <n v="8"/>
  </r>
  <r>
    <s v="STU236"/>
    <s v="Chiamaka Ajayi"/>
    <s v="Female"/>
    <x v="5"/>
    <x v="1"/>
    <n v="63"/>
    <n v="77"/>
    <n v="72"/>
    <n v="91"/>
    <n v="67"/>
    <n v="91"/>
    <n v="461"/>
    <n v="76.833333333333329"/>
    <s v="A"/>
    <n v="6"/>
  </r>
  <r>
    <s v="STU237"/>
    <s v="Musa Bakare"/>
    <s v="Male"/>
    <x v="5"/>
    <x v="2"/>
    <n v="68"/>
    <n v="71"/>
    <n v="83"/>
    <n v="87"/>
    <n v="82"/>
    <n v="72"/>
    <n v="463"/>
    <n v="77.166666666666671"/>
    <s v="A"/>
    <n v="11"/>
  </r>
  <r>
    <s v="STU237"/>
    <s v="Musa Bakare"/>
    <s v="Male"/>
    <x v="5"/>
    <x v="0"/>
    <n v="42"/>
    <n v="58"/>
    <n v="56"/>
    <n v="57"/>
    <n v="69"/>
    <n v="72"/>
    <n v="354"/>
    <n v="59"/>
    <s v="C"/>
    <n v="20"/>
  </r>
  <r>
    <s v="STU237"/>
    <s v="Musa Bakare"/>
    <s v="Male"/>
    <x v="5"/>
    <x v="1"/>
    <n v="54"/>
    <n v="64"/>
    <n v="60"/>
    <n v="70"/>
    <n v="77"/>
    <n v="75"/>
    <n v="400"/>
    <n v="66.666666666666671"/>
    <s v="B"/>
    <n v="18"/>
  </r>
  <r>
    <s v="STU238"/>
    <s v="Chidi Kalu"/>
    <s v="Male"/>
    <x v="5"/>
    <x v="2"/>
    <n v="64"/>
    <n v="57"/>
    <n v="66"/>
    <n v="62"/>
    <n v="67"/>
    <n v="72"/>
    <n v="388"/>
    <n v="64.666666666666671"/>
    <s v="B"/>
    <n v="24"/>
  </r>
  <r>
    <s v="STU238"/>
    <s v="Chidi Kalu"/>
    <s v="Male"/>
    <x v="5"/>
    <x v="0"/>
    <n v="56"/>
    <n v="56"/>
    <n v="46"/>
    <n v="68"/>
    <n v="63"/>
    <n v="52"/>
    <n v="341"/>
    <n v="56.833333333333336"/>
    <s v="C"/>
    <n v="25"/>
  </r>
  <r>
    <s v="STU238"/>
    <s v="Chidi Kalu"/>
    <s v="Male"/>
    <x v="5"/>
    <x v="1"/>
    <n v="48"/>
    <n v="54"/>
    <n v="50"/>
    <n v="63"/>
    <n v="67"/>
    <n v="59"/>
    <n v="341"/>
    <n v="56.833333333333336"/>
    <s v="C"/>
    <n v="30"/>
  </r>
  <r>
    <s v="STU239"/>
    <s v="Victoria Nnadi"/>
    <s v="Female"/>
    <x v="5"/>
    <x v="0"/>
    <n v="27"/>
    <n v="44"/>
    <n v="29"/>
    <n v="39"/>
    <n v="41"/>
    <n v="49"/>
    <n v="229"/>
    <n v="38.166666666666664"/>
    <s v="F"/>
    <n v="38"/>
  </r>
  <r>
    <s v="STU239"/>
    <s v="Victoria Nnadi"/>
    <s v="Female"/>
    <x v="5"/>
    <x v="1"/>
    <n v="16"/>
    <n v="35"/>
    <n v="32"/>
    <n v="25"/>
    <n v="26"/>
    <n v="38"/>
    <n v="172"/>
    <n v="28.666666666666668"/>
    <s v="F"/>
    <n v="40"/>
  </r>
  <r>
    <s v="STU239"/>
    <s v="Victoria Nnadi"/>
    <s v="Female"/>
    <x v="5"/>
    <x v="2"/>
    <n v="14"/>
    <n v="33"/>
    <n v="21"/>
    <n v="31"/>
    <n v="31"/>
    <n v="38"/>
    <n v="168"/>
    <n v="28"/>
    <s v="F"/>
    <n v="39"/>
  </r>
  <r>
    <s v="STU240"/>
    <s v="Precious Suleiman"/>
    <s v="Female"/>
    <x v="5"/>
    <x v="2"/>
    <n v="62"/>
    <n v="70"/>
    <n v="67"/>
    <n v="66"/>
    <n v="70"/>
    <n v="72"/>
    <n v="407"/>
    <n v="67.833333333333329"/>
    <s v="B"/>
    <n v="21"/>
  </r>
  <r>
    <s v="STU240"/>
    <s v="Precious Suleiman"/>
    <s v="Female"/>
    <x v="5"/>
    <x v="0"/>
    <n v="62"/>
    <n v="51"/>
    <n v="49"/>
    <n v="74"/>
    <n v="62"/>
    <n v="75"/>
    <n v="373"/>
    <n v="62.166666666666664"/>
    <s v="B"/>
    <n v="16"/>
  </r>
  <r>
    <s v="STU240"/>
    <s v="Precious Suleiman"/>
    <s v="Female"/>
    <x v="5"/>
    <x v="1"/>
    <n v="61"/>
    <n v="66"/>
    <n v="63"/>
    <n v="71"/>
    <n v="61"/>
    <n v="72"/>
    <n v="394"/>
    <n v="65.666666666666671"/>
    <s v="B"/>
    <n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BEF1CE-4758-4FF3-ABCF-86730109ED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4:Q12" firstHeaderRow="1" firstDataRow="2" firstDataCol="1"/>
  <pivotFields count="5">
    <pivotField axis="axisRow" showAll="0">
      <items count="7">
        <item x="0"/>
        <item x="1"/>
        <item x="2"/>
        <item x="3"/>
        <item x="4"/>
        <item x="5"/>
        <item t="default"/>
      </items>
    </pivotField>
    <pivotField axis="axisCol" showAll="0">
      <items count="4">
        <item x="0"/>
        <item x="1"/>
        <item x="2"/>
        <item t="default"/>
      </items>
    </pivotField>
    <pivotField showAll="0"/>
    <pivotField dataField="1" numFmtId="164" showAll="0"/>
    <pivotField numFmtId="9" showAll="0"/>
  </pivotFields>
  <rowFields count="1">
    <field x="0"/>
  </rowFields>
  <rowItems count="7">
    <i>
      <x/>
    </i>
    <i>
      <x v="1"/>
    </i>
    <i>
      <x v="2"/>
    </i>
    <i>
      <x v="3"/>
    </i>
    <i>
      <x v="4"/>
    </i>
    <i>
      <x v="5"/>
    </i>
    <i t="grand">
      <x/>
    </i>
  </rowItems>
  <colFields count="1">
    <field x="1"/>
  </colFields>
  <colItems count="4">
    <i>
      <x/>
    </i>
    <i>
      <x v="1"/>
    </i>
    <i>
      <x v="2"/>
    </i>
    <i t="grand">
      <x/>
    </i>
  </colItems>
  <dataFields count="1">
    <dataField name="Average of AVERAGE" fld="3" subtotal="average" baseField="0" baseItem="0" numFmtId="164"/>
  </dataField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F611A6-226D-468C-9824-D7C431FD5EC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G18" firstHeaderRow="0" firstDataRow="1" firstDataCol="1" rowPageCount="1" colPageCount="1"/>
  <pivotFields count="15">
    <pivotField showAll="0"/>
    <pivotField showAll="0"/>
    <pivotField showAll="0"/>
    <pivotField axis="axisRow" showAll="0">
      <items count="7">
        <item x="0"/>
        <item h="1" x="1"/>
        <item h="1" x="2"/>
        <item h="1" x="3"/>
        <item h="1" x="4"/>
        <item h="1" x="5"/>
        <item t="default"/>
      </items>
    </pivotField>
    <pivotField axis="axisPage" showAll="0">
      <items count="4">
        <item x="0"/>
        <item x="1"/>
        <item x="2"/>
        <item t="default"/>
      </items>
    </pivotField>
    <pivotField dataField="1" showAll="0"/>
    <pivotField dataField="1" showAll="0"/>
    <pivotField dataField="1" showAll="0"/>
    <pivotField dataField="1" showAll="0"/>
    <pivotField dataField="1" showAll="0"/>
    <pivotField dataField="1" showAll="0"/>
    <pivotField showAll="0"/>
    <pivotField numFmtId="164" showAll="0"/>
    <pivotField showAll="0"/>
    <pivotField showAll="0"/>
  </pivotFields>
  <rowFields count="1">
    <field x="3"/>
  </rowFields>
  <rowItems count="2">
    <i>
      <x/>
    </i>
    <i t="grand">
      <x/>
    </i>
  </rowItems>
  <colFields count="1">
    <field x="-2"/>
  </colFields>
  <colItems count="6">
    <i>
      <x/>
    </i>
    <i i="1">
      <x v="1"/>
    </i>
    <i i="2">
      <x v="2"/>
    </i>
    <i i="3">
      <x v="3"/>
    </i>
    <i i="4">
      <x v="4"/>
    </i>
    <i i="5">
      <x v="5"/>
    </i>
  </colItems>
  <pageFields count="1">
    <pageField fld="4" item="1" hier="-1"/>
  </pageFields>
  <dataFields count="6">
    <dataField name="Average of Civic Education" fld="10" subtotal="average" baseField="3" baseItem="0" numFmtId="164"/>
    <dataField name="Average of Computer Studies" fld="9" subtotal="average" baseField="3" baseItem="0" numFmtId="164"/>
    <dataField name="Average of Basic Science" fld="7" subtotal="average" baseField="3" baseItem="0" numFmtId="164"/>
    <dataField name="Average of Social Studies" fld="8" subtotal="average" baseField="3" baseItem="0" numFmtId="164"/>
    <dataField name="Average of Maths" fld="5" subtotal="average" baseField="3" baseItem="0" numFmtId="164"/>
    <dataField name="Average of English" fld="6" subtotal="average" baseField="3" baseItem="0" numFmtId="164"/>
  </dataFields>
  <chartFormats count="6">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2"/>
          </reference>
        </references>
      </pivotArea>
    </chartFormat>
    <chartFormat chart="2" format="15"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4"/>
          </reference>
        </references>
      </pivotArea>
    </chartFormat>
    <chartFormat chart="2"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466EF0-B86E-4796-A240-65098CA1C32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4:K11" firstHeaderRow="1" firstDataRow="1" firstDataCol="1"/>
  <pivotFields count="5">
    <pivotField axis="axisRow" showAll="0" sortType="ascending">
      <items count="7">
        <item x="2"/>
        <item x="5"/>
        <item x="4"/>
        <item x="1"/>
        <item x="0"/>
        <item x="3"/>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numFmtId="164" showAll="0"/>
  </pivotFields>
  <rowFields count="1">
    <field x="0"/>
  </rowFields>
  <rowItems count="7">
    <i>
      <x v="4"/>
    </i>
    <i>
      <x/>
    </i>
    <i>
      <x v="3"/>
    </i>
    <i>
      <x v="5"/>
    </i>
    <i>
      <x v="2"/>
    </i>
    <i>
      <x v="1"/>
    </i>
    <i t="grand">
      <x/>
    </i>
  </rowItems>
  <colItems count="1">
    <i/>
  </colItems>
  <dataFields count="1">
    <dataField name="Sum of ALL TERMS AVERAGE" fld="1" baseField="0" baseItem="0" numFmtId="164"/>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F26E1866-1975-44DF-93EE-23D94D654811}" sourceName="Class">
  <pivotTables>
    <pivotTable tabId="4" name="PivotTable4"/>
  </pivotTables>
  <data>
    <tabular pivotCacheId="2031695964">
      <items count="6">
        <i x="0" s="1"/>
        <i x="1"/>
        <i x="2"/>
        <i x="3"/>
        <i x="4"/>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 xr10:uid="{8DF01292-FF8B-4CD4-8735-6DC2EEE83B8E}" sourceName="Term">
  <pivotTables>
    <pivotTable tabId="4" name="PivotTable4"/>
  </pivotTables>
  <data>
    <tabular pivotCacheId="2031695964">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1" xr10:uid="{C1CA3D36-EAAF-41A0-8497-C0D675744743}" cache="Slicer_Class" caption="Class" style="SlicerStyleDark5" rowHeight="241300"/>
  <slicer name="Term 1" xr10:uid="{47389425-4E6B-42D3-B317-F6499AFB5CBB}" cache="Slicer_Term" caption="Term"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48C9F8-56DE-4759-B294-E3F37A0985FE}" name="Table1" displayName="Table1" ref="A1:O721" totalsRowShown="0" headerRowDxfId="37">
  <autoFilter ref="A1:O721" xr:uid="{AD48C9F8-56DE-4759-B294-E3F37A0985FE}"/>
  <sortState xmlns:xlrd2="http://schemas.microsoft.com/office/spreadsheetml/2017/richdata2" ref="A2:O721">
    <sortCondition ref="A2:A721"/>
  </sortState>
  <tableColumns count="15">
    <tableColumn id="1" xr3:uid="{EA038BE0-8FEE-4E9B-86DC-FA7BF67C714D}" name="Student ID" dataDxfId="36"/>
    <tableColumn id="2" xr3:uid="{992D14D7-B34C-4CF8-9673-D9EA26E8ABDE}" name="Student Name" dataDxfId="35"/>
    <tableColumn id="3" xr3:uid="{F05958EE-97D1-4D3E-AA90-E2D6DFC89BA1}" name="Gender" dataDxfId="34"/>
    <tableColumn id="4" xr3:uid="{1D9D793E-E787-4E70-945A-10891AF58FEC}" name="Class" dataDxfId="33"/>
    <tableColumn id="5" xr3:uid="{3D273588-70D1-4920-B7BD-0239A1C7D9B8}" name="Term" dataDxfId="32"/>
    <tableColumn id="6" xr3:uid="{A968D5CE-326D-40C4-8135-260990BFDB37}" name="Maths" dataDxfId="31"/>
    <tableColumn id="7" xr3:uid="{101E1CE9-4694-427D-A2EE-8EA606D5DA21}" name="English" dataDxfId="30"/>
    <tableColumn id="8" xr3:uid="{E94A279E-D215-45F4-B458-2E289591BC15}" name="Basic Science" dataDxfId="29"/>
    <tableColumn id="9" xr3:uid="{F084E686-3077-4EEC-A43B-93D9E400DBF4}" name="Social Studies" dataDxfId="28"/>
    <tableColumn id="10" xr3:uid="{403C9125-0E64-477E-9671-B0C472DBA423}" name="Computer Studies" dataDxfId="27"/>
    <tableColumn id="11" xr3:uid="{524B46CF-B430-43B2-8059-B858B71D8DAE}" name="Civic Education" dataDxfId="26"/>
    <tableColumn id="12" xr3:uid="{2B3E4A20-2C5B-40FC-A502-6D353D17949D}" name="Total">
      <calculatedColumnFormula>SUM(F2:K2)</calculatedColumnFormula>
    </tableColumn>
    <tableColumn id="13" xr3:uid="{DFC55F4B-162A-427A-9D8F-70568A9BB46B}" name="Average" dataDxfId="25">
      <calculatedColumnFormula>AVERAGE(F2:K2)</calculatedColumnFormula>
    </tableColumn>
    <tableColumn id="14" xr3:uid="{44890398-A4BE-42FA-8D56-E745B319CC43}" name="Grade">
      <calculatedColumnFormula array="1">_xlfn.IFS(M2&gt;=70,"A",M2&gt;=60,"B",M2&gt;=50,"C",M2&gt;=45,"D",M2&gt;=40,"E",TRUE,"F")</calculatedColumnFormula>
    </tableColumn>
    <tableColumn id="15" xr3:uid="{C9C170D8-34C4-434B-9701-6244DA555F5B}" name="Class Rank" dataDxfId="24">
      <calculatedColumnFormula>COUNTIFS($D$2:$D$721,D2,$E$2:$E$721,E2,$M$2:$M$721,"&gt;"&amp;M2)+1</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284FC5-6FC4-4B4F-8F5B-2EADF9B91F23}" name="Table2" displayName="Table2" ref="Q3:S13" totalsRowShown="0">
  <autoFilter ref="Q3:S13" xr:uid="{4F284FC5-6FC4-4B4F-8F5B-2EADF9B91F23}"/>
  <tableColumns count="3">
    <tableColumn id="1" xr3:uid="{D4BFD4E3-243D-4A16-8C2C-9A9FD8ABD3C5}" name="STUDENT NAME">
      <calculatedColumnFormula array="1">INDEX($B$2:$B$721,MATCH(1,($E$2:$E$721="Third Term")*($M$2:$M$721=S4)*(COUNTIF($Q$3:Q3,$B$2:$B$721)=0),0))</calculatedColumnFormula>
    </tableColumn>
    <tableColumn id="2" xr3:uid="{34207342-699D-475B-B3C6-E69ACFBEE210}" name="CLASS">
      <calculatedColumnFormula array="1">INDEX($D$2:$D$721,MATCH(1,($B$2:$B$721=Q4)*($M$2:$M$721=S4)*($E$2:$E$721="Third Term"),0))</calculatedColumnFormula>
    </tableColumn>
    <tableColumn id="3" xr3:uid="{ABCFE0E8-94B7-4E7C-9659-890C987406B3}" name="AVERAGE" dataDxfId="23">
      <calculatedColumnFormula array="1">LARGE(_xlfn._xlws.FILTER($M$2:$M$721,$E$2:$E$721="Third Term"), ROWS($S$4:S4))</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FCA76F-E87E-4A53-AA93-1B4FE01F6CFE}" name="Table6" displayName="Table6" ref="U3:W6" totalsRowShown="0">
  <autoFilter ref="U3:W6" xr:uid="{18FCA76F-E87E-4A53-AA93-1B4FE01F6CFE}"/>
  <tableColumns count="3">
    <tableColumn id="1" xr3:uid="{4749379A-9FB2-46CD-BF8D-280F2F515E27}" name="STUDENT NAME"/>
    <tableColumn id="2" xr3:uid="{41017614-F094-4533-A850-B4320DE33C39}" name="CLASS"/>
    <tableColumn id="3" xr3:uid="{1E55D4B2-0EFF-4909-BEC2-8DE21E2D45ED}" name="AVERAG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937770-868F-429B-8954-C4926C5AA9C6}" name="Table7" displayName="Table7" ref="U11:W14" totalsRowShown="0">
  <autoFilter ref="U11:W14" xr:uid="{29937770-868F-429B-8954-C4926C5AA9C6}"/>
  <tableColumns count="3">
    <tableColumn id="1" xr3:uid="{A6E069D2-1E94-48A6-B76E-C1F43ACF0080}" name="STUDENT NAME"/>
    <tableColumn id="2" xr3:uid="{21F3165F-57A9-4A0F-ACD2-3CC32BE18A83}" name="CLASS"/>
    <tableColumn id="3" xr3:uid="{9B4C286D-FCB8-407B-93B6-10B2E8AC0425}" name="AVERAGE" dataDxfId="2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BBAE6F0-BF56-4F9B-8283-BDA7D6EA516A}" name="Table8" displayName="Table8" ref="Q19:S22" totalsRowShown="0">
  <autoFilter ref="Q19:S22" xr:uid="{CBBAE6F0-BF56-4F9B-8283-BDA7D6EA516A}"/>
  <tableColumns count="3">
    <tableColumn id="1" xr3:uid="{45A83F5B-5400-40F8-A3BB-3DB4E7E2B544}" name="STUDENT NAME"/>
    <tableColumn id="2" xr3:uid="{7C171E1E-5606-4E2D-8D22-E6C5BC768D1C}" name="CLASS"/>
    <tableColumn id="3" xr3:uid="{4BC4D607-48D9-431F-B3F9-B52CB1D1DB46}" name="AVERAGE" dataDxfId="21"/>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3BFEA67-1823-4A60-ACD6-94AA761A00C4}" name="Table9" displayName="Table9" ref="Q28:S31" totalsRowShown="0">
  <autoFilter ref="Q28:S31" xr:uid="{D3BFEA67-1823-4A60-ACD6-94AA761A00C4}"/>
  <tableColumns count="3">
    <tableColumn id="1" xr3:uid="{5335BFF8-0ECF-4275-BC21-2DB48B6DCB85}" name="STUDENT NAME"/>
    <tableColumn id="2" xr3:uid="{0A17307C-1526-49F2-8720-1F0A1396FAC4}" name="CLASS" dataDxfId="20"/>
    <tableColumn id="3" xr3:uid="{1954BB65-F8DC-4AA8-AE59-5AEBDCB15275}" name="AVERAGE" dataDxfId="19"/>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227F2D8-0F82-423D-AC28-4E0072F56DC0}" name="Table10" displayName="Table10" ref="U19:W22" totalsRowShown="0">
  <autoFilter ref="U19:W22" xr:uid="{D227F2D8-0F82-423D-AC28-4E0072F56DC0}"/>
  <tableColumns count="3">
    <tableColumn id="1" xr3:uid="{4FE333E4-F034-4E6A-A002-27A5572E26D5}" name="STUDENT NAME"/>
    <tableColumn id="2" xr3:uid="{DDA0877B-3426-4271-A90F-E5570E74B2A4}" name="CLASS"/>
    <tableColumn id="3" xr3:uid="{6884D518-D6A3-48E0-831F-58AF388174FF}" name="AVERAGE" dataDxfId="18"/>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E97FC10-D717-4A46-ACB5-CBEEB859649A}" name="Table11" displayName="Table11" ref="U28:W31" totalsRowShown="0">
  <autoFilter ref="U28:W31" xr:uid="{EE97FC10-D717-4A46-ACB5-CBEEB859649A}"/>
  <tableColumns count="3">
    <tableColumn id="1" xr3:uid="{119E7058-9D6C-4CFD-BADC-05B1A412AD58}" name="STUDENT NAME"/>
    <tableColumn id="2" xr3:uid="{E6038723-E8B2-4918-A6EA-CFBF07E4384E}" name="CLASS"/>
    <tableColumn id="3" xr3:uid="{CC656C92-B8B2-4656-946B-72324580C090}" name="AVERAGE" dataDxfId="17"/>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ED2009-A900-46E6-B4A7-2BBA2D6DCF24}" name="Table3" displayName="Table3" ref="A1:E19" totalsRowShown="0">
  <autoFilter ref="A1:E19" xr:uid="{10ED2009-A900-46E6-B4A7-2BBA2D6DCF24}"/>
  <tableColumns count="5">
    <tableColumn id="1" xr3:uid="{C647A53B-BD4A-4534-8FDD-097755656D5B}" name="CLASS"/>
    <tableColumn id="2" xr3:uid="{92AED376-AF8D-461A-8FFB-8AA3AB518B57}" name="TERM"/>
    <tableColumn id="3" xr3:uid="{3C501D2D-1080-4250-89F0-BDBAD64DCA42}" name="STUDENTS">
      <calculatedColumnFormula>COUNTIFS('Cleaned Data'!$D$2:$D$721,A2,'Cleaned Data'!$E$2:$E$721,B2)</calculatedColumnFormula>
    </tableColumn>
    <tableColumn id="4" xr3:uid="{FC30CA94-AD7A-4E69-86D0-DC9189A23971}" name="AVERAGE" dataDxfId="40">
      <calculatedColumnFormula>AVERAGEIFS('Cleaned Data'!$M$2:$M$721,'Cleaned Data'!$D$2:$D$721,A2,'Cleaned Data'!$E$2:$E$721,B2)</calculatedColumnFormula>
    </tableColumn>
    <tableColumn id="5" xr3:uid="{CF269B2B-DB21-41C9-898C-513E67D65EA7}" name="PASS RATE" dataDxfId="39">
      <calculatedColumnFormula>IF(C2=0,0,COUNTIFS('Cleaned Data'!$D$2:$D$721,A2,'Cleaned Data'!$E$2:$E$721,B2,'Cleaned Data'!$M$2:$M$721,"&gt;=50")/C2)</calculatedColumnFormula>
    </tableColum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B95016-2B36-5B41-82F6-9EDCCEC25138}" name="Table13" displayName="Table13" ref="G1:H7" totalsRowShown="0">
  <autoFilter ref="G1:H7" xr:uid="{EBB95016-2B36-5B41-82F6-9EDCCEC25138}"/>
  <tableColumns count="2">
    <tableColumn id="1" xr3:uid="{6ABFE074-96C7-1445-9C75-9ADD35C5FE19}" name="CLASS"/>
    <tableColumn id="2" xr3:uid="{F1FD0665-0ED2-354E-A4EC-FE13B51F87DB}" name="THIRD TERM PASS RATE" dataDxfId="38"/>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D7D995-B077-4B01-8E97-80F03C57F03C}" name="Table4" displayName="Table4" ref="A1:E7" totalsRowShown="0" headerRowDxfId="16">
  <autoFilter ref="A1:E7" xr:uid="{E8D7D995-B077-4B01-8E97-80F03C57F03C}"/>
  <tableColumns count="5">
    <tableColumn id="1" xr3:uid="{0BD300BD-167A-4C3C-B113-1123B5294013}" name="SUBJECT"/>
    <tableColumn id="2" xr3:uid="{35C50341-D7B7-4B8E-9A03-3B7D29D96A10}" name="ALL TERMS AVERAGE" dataDxfId="15"/>
    <tableColumn id="3" xr3:uid="{A1DC3924-2F45-4FDD-B80F-03B63688FD0F}" name="FIRST TERM" dataDxfId="14"/>
    <tableColumn id="4" xr3:uid="{909C3902-60C4-4A5D-A6D7-0C7BEE5CD551}" name="SECOND TERM" dataDxfId="13"/>
    <tableColumn id="5" xr3:uid="{2B9F1EE9-D993-4E22-B7F5-315A3B195A78}" name="THIRD TERM" dataDxfId="12"/>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A4BC87B-B6A5-4836-BCD7-F20A41D47CF3}" name="Table5" displayName="Table5" ref="A1:F241" totalsRowShown="0" headerRowDxfId="11">
  <autoFilter ref="A1:F241" xr:uid="{3A4BC87B-B6A5-4836-BCD7-F20A41D47CF3}"/>
  <tableColumns count="6">
    <tableColumn id="1" xr3:uid="{E210257D-B893-4C8F-A44B-22129F5B21D5}" name="STUDENT ID" dataDxfId="10"/>
    <tableColumn id="2" xr3:uid="{7718BB6E-6DC7-4269-9BA3-FF7B788C5BA4}" name="STUDENT NAME">
      <calculatedColumnFormula>_xlfn.XLOOKUP(A2,'Cleaned Data'!$A$2:$A$721,'Cleaned Data'!$B$2:$B$721)</calculatedColumnFormula>
    </tableColumn>
    <tableColumn id="3" xr3:uid="{35C926B2-AA34-48BF-AA86-4441A364166C}" name="FIRST TERM" dataDxfId="9">
      <calculatedColumnFormula>AVERAGEIFS('Cleaned Data'!$M$2:$M$721,'Cleaned Data'!$A$2:$A$721,A2,'Cleaned Data'!$E$2:$E$721,"First Term")</calculatedColumnFormula>
    </tableColumn>
    <tableColumn id="4" xr3:uid="{68D08C72-1F40-4095-92A6-FEEECB7C6984}" name="THIRD TERM" dataDxfId="8">
      <calculatedColumnFormula>AVERAGEIFS('Cleaned Data'!$M$2:$M$721,'Cleaned Data'!$A$2:$A$721,A2,'Cleaned Data'!$E$2:$E$721,"Third Term")</calculatedColumnFormula>
    </tableColumn>
    <tableColumn id="5" xr3:uid="{4ABFE81E-B999-435D-A1A5-E9B99F3B1E7E}" name="CHANGE" dataDxfId="7">
      <calculatedColumnFormula>D2-C2</calculatedColumnFormula>
    </tableColumn>
    <tableColumn id="6" xr3:uid="{3E29FC0A-3361-4224-806C-43550710EAFF}" name="STATUS">
      <calculatedColumnFormula>IF(E2&gt;0,"Improved",IF(E2&lt;0,"Dropped","Unchanged"))</calculatedColumnFormula>
    </tableColum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AE2AB08-6416-4FAC-8818-37FF94645DB8}" name="Table14" displayName="Table14" ref="H1:K7" totalsRowShown="0">
  <autoFilter ref="H1:K7" xr:uid="{EAE2AB08-6416-4FAC-8818-37FF94645DB8}"/>
  <tableColumns count="4">
    <tableColumn id="1" xr3:uid="{2A024EBA-3DD9-424B-B6E4-6F8FDA1FB278}" name="CLASS"/>
    <tableColumn id="2" xr3:uid="{46C10A8A-FF19-401E-9F73-D5B9A81E292A}" name="FIRST TERM" dataDxfId="6">
      <calculatedColumnFormula>AVERAGEIFS('Cleaned Data'!$M$2:$M$721,'Cleaned Data'!$D$2:$D$721,H2,'Cleaned Data'!$E$2:$E$721,"First Term")</calculatedColumnFormula>
    </tableColumn>
    <tableColumn id="3" xr3:uid="{485F91B7-958E-4D34-8A53-F61807F81DF3}" name="THIRD TERM" dataDxfId="5">
      <calculatedColumnFormula>AVERAGEIFS('Cleaned Data'!$M$2:$M$721,'Cleaned Data'!$D$2:$D$721,H2,'Cleaned Data'!$E$2:$E$721,"Third Term")</calculatedColumnFormula>
    </tableColumn>
    <tableColumn id="4" xr3:uid="{D425F7E4-696A-47C5-9C77-A73453263F16}" name="IMPROVEMENT " dataDxfId="4">
      <calculatedColumnFormula>J2-I2</calculatedColumnFormula>
    </tableColumn>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9A21467-3DEF-412E-BDBD-EBFD547DAFB0}" name="Table12" displayName="Table12" ref="A1:C33" totalsRowShown="0">
  <autoFilter ref="A1:C33" xr:uid="{69A21467-3DEF-412E-BDBD-EBFD547DAFB0}"/>
  <tableColumns count="3">
    <tableColumn id="1" xr3:uid="{A974A7F2-BD3B-46DF-BE86-EE1A08494916}" name="STUDENT ID" dataDxfId="3"/>
    <tableColumn id="2" xr3:uid="{31177398-4477-46B0-8C79-BD5246CFA618}" name="STUDENT NAME" dataDxfId="2"/>
    <tableColumn id="3" xr3:uid="{248A6E83-F703-4D6A-8F11-B464F87881AC}" name="THIRD TERM AVERAGE"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6948AD7-3132-4960-9511-E0139C651E65}">
  <we:reference id="wa200005502" version="1.0.0.13" store="en-GB" storeType="OMEX"/>
  <we:alternateReferences>
    <we:reference id="wa200005502" version="1.0.0.13" store="wa200005502" storeType="OMEX"/>
  </we:alternateReferences>
  <we:properties>
    <we:property name="docId" value="&quot;NoMdUxDl0fcqYfFRPJsWe&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table" Target="../tables/table1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27"/>
  <sheetViews>
    <sheetView topLeftCell="B1" workbookViewId="0">
      <pane ySplit="1" topLeftCell="A2" activePane="bottomLeft" state="frozen"/>
      <selection activeCell="B1" sqref="B1"/>
      <selection pane="bottomLeft" activeCell="B194" sqref="A194:XFD194"/>
    </sheetView>
  </sheetViews>
  <sheetFormatPr defaultRowHeight="14.5" x14ac:dyDescent="0.35"/>
  <cols>
    <col min="1" max="1" width="11" customWidth="1"/>
    <col min="2" max="2" width="23.90625" customWidth="1"/>
    <col min="3" max="4" width="9.90625" customWidth="1"/>
    <col min="5" max="5" width="13" customWidth="1"/>
    <col min="6" max="7" width="9" customWidth="1"/>
    <col min="8" max="8" width="13" customWidth="1"/>
    <col min="9" max="9" width="14" customWidth="1"/>
    <col min="10" max="10" width="16.90625" customWidth="1"/>
    <col min="11" max="11" width="16" customWidth="1"/>
  </cols>
  <sheetData>
    <row r="1" spans="1:11" ht="30" customHeight="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t="s">
        <v>12</v>
      </c>
      <c r="C2" s="2" t="s">
        <v>13</v>
      </c>
      <c r="D2" s="2" t="s">
        <v>14</v>
      </c>
      <c r="E2" s="2" t="s">
        <v>15</v>
      </c>
      <c r="F2" s="2">
        <v>74</v>
      </c>
      <c r="G2" s="2">
        <v>69</v>
      </c>
      <c r="H2" s="2">
        <v>69</v>
      </c>
      <c r="I2" s="2">
        <v>84</v>
      </c>
      <c r="J2" s="2">
        <v>91</v>
      </c>
      <c r="K2" s="2">
        <v>87</v>
      </c>
    </row>
    <row r="3" spans="1:11" x14ac:dyDescent="0.35">
      <c r="A3" s="2" t="s">
        <v>11</v>
      </c>
      <c r="B3" s="2" t="s">
        <v>12</v>
      </c>
      <c r="C3" s="2" t="s">
        <v>16</v>
      </c>
      <c r="D3" s="2" t="s">
        <v>14</v>
      </c>
      <c r="E3" s="2" t="s">
        <v>17</v>
      </c>
      <c r="F3" s="2">
        <v>79</v>
      </c>
      <c r="G3" s="2">
        <v>88</v>
      </c>
      <c r="H3" s="2">
        <v>82</v>
      </c>
      <c r="I3" s="2">
        <v>73</v>
      </c>
      <c r="J3" s="2">
        <v>80</v>
      </c>
      <c r="K3" s="2">
        <v>87</v>
      </c>
    </row>
    <row r="4" spans="1:11" x14ac:dyDescent="0.35">
      <c r="A4" s="2" t="s">
        <v>11</v>
      </c>
      <c r="B4" s="2" t="s">
        <v>12</v>
      </c>
      <c r="C4" s="2" t="s">
        <v>18</v>
      </c>
      <c r="D4" s="2" t="s">
        <v>19</v>
      </c>
      <c r="E4" s="2" t="s">
        <v>20</v>
      </c>
      <c r="F4" s="2">
        <v>67</v>
      </c>
      <c r="G4" s="2">
        <v>79</v>
      </c>
      <c r="H4" s="2">
        <v>63</v>
      </c>
      <c r="I4" s="2">
        <v>73</v>
      </c>
      <c r="J4" s="2">
        <v>84</v>
      </c>
      <c r="K4" s="2">
        <v>67</v>
      </c>
    </row>
    <row r="5" spans="1:11" x14ac:dyDescent="0.35">
      <c r="A5" s="2" t="s">
        <v>21</v>
      </c>
      <c r="B5" s="2" t="s">
        <v>22</v>
      </c>
      <c r="C5" s="2" t="s">
        <v>23</v>
      </c>
      <c r="D5" s="2" t="s">
        <v>14</v>
      </c>
      <c r="E5" s="2" t="s">
        <v>15</v>
      </c>
      <c r="F5" s="2">
        <v>37</v>
      </c>
      <c r="G5" s="2">
        <v>51</v>
      </c>
      <c r="H5" s="2">
        <v>37</v>
      </c>
      <c r="I5" s="2">
        <v>54</v>
      </c>
      <c r="J5" s="2">
        <v>49</v>
      </c>
      <c r="K5" s="2">
        <v>55</v>
      </c>
    </row>
    <row r="6" spans="1:11" x14ac:dyDescent="0.35">
      <c r="A6" s="2" t="s">
        <v>21</v>
      </c>
      <c r="B6" s="2" t="s">
        <v>24</v>
      </c>
      <c r="C6" s="2" t="s">
        <v>25</v>
      </c>
      <c r="D6" s="2" t="s">
        <v>14</v>
      </c>
      <c r="E6" s="2" t="s">
        <v>17</v>
      </c>
      <c r="F6" s="2">
        <v>41</v>
      </c>
      <c r="G6" s="2">
        <v>50</v>
      </c>
      <c r="H6" s="2">
        <v>43</v>
      </c>
      <c r="I6" s="2">
        <v>53</v>
      </c>
      <c r="J6" s="2">
        <v>49</v>
      </c>
      <c r="K6" s="2">
        <v>59</v>
      </c>
    </row>
    <row r="7" spans="1:11" x14ac:dyDescent="0.35">
      <c r="A7" s="2" t="s">
        <v>21</v>
      </c>
      <c r="B7" s="2" t="s">
        <v>26</v>
      </c>
      <c r="C7" s="2" t="s">
        <v>23</v>
      </c>
      <c r="D7" s="2" t="s">
        <v>14</v>
      </c>
      <c r="E7" s="2" t="s">
        <v>20</v>
      </c>
      <c r="F7" s="2">
        <v>53</v>
      </c>
      <c r="G7" s="2" t="s">
        <v>27</v>
      </c>
      <c r="H7" s="2">
        <v>46</v>
      </c>
      <c r="I7" s="2">
        <v>42</v>
      </c>
      <c r="J7" s="2">
        <v>56</v>
      </c>
      <c r="K7" s="2">
        <v>48</v>
      </c>
    </row>
    <row r="8" spans="1:11" x14ac:dyDescent="0.35">
      <c r="A8" s="2" t="s">
        <v>28</v>
      </c>
      <c r="B8" s="2" t="s">
        <v>29</v>
      </c>
      <c r="C8" s="2" t="s">
        <v>23</v>
      </c>
      <c r="D8" s="2" t="s">
        <v>14</v>
      </c>
      <c r="E8" s="2" t="s">
        <v>15</v>
      </c>
      <c r="F8" s="2">
        <v>56</v>
      </c>
      <c r="G8" s="2">
        <v>71</v>
      </c>
      <c r="H8" s="2">
        <v>67</v>
      </c>
      <c r="I8" s="2">
        <v>78</v>
      </c>
      <c r="J8" s="2">
        <v>81</v>
      </c>
      <c r="K8" s="2">
        <v>70</v>
      </c>
    </row>
    <row r="9" spans="1:11" x14ac:dyDescent="0.35">
      <c r="A9" s="2" t="s">
        <v>28</v>
      </c>
      <c r="B9" s="2" t="s">
        <v>29</v>
      </c>
      <c r="C9" s="2" t="s">
        <v>30</v>
      </c>
      <c r="D9" s="2" t="s">
        <v>14</v>
      </c>
      <c r="E9" s="2" t="s">
        <v>17</v>
      </c>
      <c r="F9" s="2">
        <v>56</v>
      </c>
      <c r="G9" s="2">
        <v>74</v>
      </c>
      <c r="H9" s="2">
        <v>66</v>
      </c>
      <c r="I9" s="2">
        <v>69</v>
      </c>
      <c r="J9" s="2">
        <v>74</v>
      </c>
      <c r="K9" s="2">
        <v>63</v>
      </c>
    </row>
    <row r="10" spans="1:11" x14ac:dyDescent="0.35">
      <c r="A10" s="2" t="s">
        <v>28</v>
      </c>
      <c r="B10" s="2" t="s">
        <v>29</v>
      </c>
      <c r="C10" s="2" t="s">
        <v>23</v>
      </c>
      <c r="D10" s="2" t="s">
        <v>14</v>
      </c>
      <c r="E10" s="2" t="s">
        <v>20</v>
      </c>
      <c r="F10" s="2">
        <v>54</v>
      </c>
      <c r="G10" s="2">
        <v>65</v>
      </c>
      <c r="H10" s="2">
        <v>65</v>
      </c>
      <c r="I10" s="2">
        <v>53</v>
      </c>
      <c r="J10" s="2">
        <v>58</v>
      </c>
      <c r="K10" s="2">
        <v>64</v>
      </c>
    </row>
    <row r="11" spans="1:11" x14ac:dyDescent="0.35">
      <c r="A11" s="2" t="s">
        <v>31</v>
      </c>
      <c r="B11" s="2" t="s">
        <v>32</v>
      </c>
      <c r="C11" s="2" t="s">
        <v>23</v>
      </c>
      <c r="D11" s="2" t="s">
        <v>14</v>
      </c>
      <c r="E11" s="2" t="s">
        <v>15</v>
      </c>
      <c r="F11" s="2">
        <v>70</v>
      </c>
      <c r="G11" s="2">
        <v>75</v>
      </c>
      <c r="H11" s="2">
        <v>81</v>
      </c>
      <c r="I11" s="2">
        <v>78</v>
      </c>
      <c r="J11" s="2">
        <v>69</v>
      </c>
      <c r="K11" s="2">
        <v>86</v>
      </c>
    </row>
    <row r="12" spans="1:11" x14ac:dyDescent="0.35">
      <c r="A12" s="2" t="s">
        <v>31</v>
      </c>
      <c r="B12" s="2" t="s">
        <v>32</v>
      </c>
      <c r="C12" s="2" t="s">
        <v>23</v>
      </c>
      <c r="D12" s="2" t="s">
        <v>14</v>
      </c>
      <c r="E12" s="2" t="s">
        <v>17</v>
      </c>
      <c r="F12" s="2">
        <v>68</v>
      </c>
      <c r="G12" s="2">
        <v>72</v>
      </c>
      <c r="H12" s="2">
        <v>64</v>
      </c>
      <c r="I12" s="2">
        <v>87</v>
      </c>
      <c r="J12" s="2">
        <v>66</v>
      </c>
      <c r="K12" s="2">
        <v>71</v>
      </c>
    </row>
    <row r="13" spans="1:11" x14ac:dyDescent="0.35">
      <c r="A13" s="2" t="s">
        <v>31</v>
      </c>
      <c r="B13" s="2" t="s">
        <v>32</v>
      </c>
      <c r="C13" s="2" t="s">
        <v>33</v>
      </c>
      <c r="D13" s="2" t="s">
        <v>34</v>
      </c>
      <c r="E13" s="2" t="s">
        <v>20</v>
      </c>
      <c r="F13" s="2">
        <v>69</v>
      </c>
      <c r="G13" s="2">
        <v>85</v>
      </c>
      <c r="H13" s="2">
        <v>84</v>
      </c>
      <c r="I13" s="2">
        <v>72</v>
      </c>
      <c r="J13" s="2">
        <v>79</v>
      </c>
      <c r="K13" s="2">
        <v>72</v>
      </c>
    </row>
    <row r="14" spans="1:11" x14ac:dyDescent="0.35">
      <c r="A14" s="2" t="s">
        <v>35</v>
      </c>
      <c r="B14" s="2" t="s">
        <v>36</v>
      </c>
      <c r="C14" s="2" t="s">
        <v>18</v>
      </c>
      <c r="D14" s="2" t="s">
        <v>14</v>
      </c>
      <c r="E14" s="2" t="s">
        <v>15</v>
      </c>
      <c r="F14" s="2">
        <v>62</v>
      </c>
      <c r="G14" s="2">
        <v>50</v>
      </c>
      <c r="H14" s="2">
        <v>58</v>
      </c>
      <c r="I14" s="2">
        <v>71</v>
      </c>
      <c r="J14" s="2">
        <v>63</v>
      </c>
      <c r="K14" s="2">
        <v>77</v>
      </c>
    </row>
    <row r="15" spans="1:11" x14ac:dyDescent="0.35">
      <c r="A15" s="2" t="s">
        <v>35</v>
      </c>
      <c r="B15" s="2" t="s">
        <v>36</v>
      </c>
      <c r="C15" s="2" t="s">
        <v>37</v>
      </c>
      <c r="D15" s="2" t="s">
        <v>14</v>
      </c>
      <c r="E15" s="2" t="s">
        <v>17</v>
      </c>
      <c r="F15" s="2">
        <v>50</v>
      </c>
      <c r="G15" s="2">
        <v>65</v>
      </c>
      <c r="H15" s="2">
        <v>66</v>
      </c>
      <c r="I15" s="2">
        <v>64</v>
      </c>
      <c r="J15" s="2">
        <v>76</v>
      </c>
      <c r="K15" s="2">
        <v>72</v>
      </c>
    </row>
    <row r="16" spans="1:11" x14ac:dyDescent="0.35">
      <c r="A16" s="2" t="s">
        <v>35</v>
      </c>
      <c r="B16" s="2" t="s">
        <v>36</v>
      </c>
      <c r="C16" s="2" t="s">
        <v>16</v>
      </c>
      <c r="D16" s="2" t="s">
        <v>38</v>
      </c>
      <c r="E16" s="2" t="s">
        <v>20</v>
      </c>
      <c r="F16" s="2">
        <v>46</v>
      </c>
      <c r="G16" s="2">
        <v>91</v>
      </c>
      <c r="H16" s="2">
        <v>66</v>
      </c>
      <c r="I16" s="2">
        <v>67</v>
      </c>
      <c r="J16" s="2">
        <v>57</v>
      </c>
      <c r="K16" s="2">
        <v>70</v>
      </c>
    </row>
    <row r="17" spans="1:11" x14ac:dyDescent="0.35">
      <c r="A17" s="2" t="s">
        <v>39</v>
      </c>
      <c r="B17" s="2" t="s">
        <v>40</v>
      </c>
      <c r="C17" s="2" t="s">
        <v>18</v>
      </c>
      <c r="D17" s="2" t="s">
        <v>14</v>
      </c>
      <c r="E17" s="2" t="s">
        <v>15</v>
      </c>
      <c r="F17" s="2">
        <v>65</v>
      </c>
      <c r="G17" s="2">
        <v>79</v>
      </c>
      <c r="H17" s="2">
        <v>75</v>
      </c>
      <c r="I17" s="2">
        <v>91</v>
      </c>
      <c r="J17" s="2">
        <v>80</v>
      </c>
      <c r="K17" s="2">
        <v>84</v>
      </c>
    </row>
    <row r="18" spans="1:11" x14ac:dyDescent="0.35">
      <c r="A18" s="2" t="s">
        <v>39</v>
      </c>
      <c r="B18" s="2" t="s">
        <v>40</v>
      </c>
      <c r="C18" s="2" t="s">
        <v>18</v>
      </c>
      <c r="D18" s="2" t="s">
        <v>14</v>
      </c>
      <c r="E18" s="2" t="s">
        <v>17</v>
      </c>
      <c r="F18" s="2">
        <v>66</v>
      </c>
      <c r="G18" s="2">
        <v>68</v>
      </c>
      <c r="H18" s="2">
        <v>66</v>
      </c>
      <c r="I18" s="2">
        <v>80</v>
      </c>
      <c r="J18" s="2">
        <v>79</v>
      </c>
      <c r="K18" s="2">
        <v>71</v>
      </c>
    </row>
    <row r="19" spans="1:11" x14ac:dyDescent="0.35">
      <c r="A19" s="2" t="s">
        <v>39</v>
      </c>
      <c r="B19" s="2" t="s">
        <v>40</v>
      </c>
      <c r="C19" s="2" t="s">
        <v>16</v>
      </c>
      <c r="D19" s="2" t="s">
        <v>14</v>
      </c>
      <c r="E19" s="2" t="s">
        <v>20</v>
      </c>
      <c r="F19" s="2">
        <v>50</v>
      </c>
      <c r="G19" s="2"/>
      <c r="H19" s="2">
        <v>70</v>
      </c>
      <c r="I19" s="2">
        <v>67</v>
      </c>
      <c r="J19" s="2">
        <v>80</v>
      </c>
      <c r="K19" s="2">
        <v>65</v>
      </c>
    </row>
    <row r="20" spans="1:11" x14ac:dyDescent="0.35">
      <c r="A20" s="2" t="s">
        <v>41</v>
      </c>
      <c r="B20" s="2" t="s">
        <v>42</v>
      </c>
      <c r="C20" s="2" t="s">
        <v>23</v>
      </c>
      <c r="D20" s="2" t="s">
        <v>19</v>
      </c>
      <c r="E20" s="2" t="s">
        <v>15</v>
      </c>
      <c r="F20" s="2">
        <v>48</v>
      </c>
      <c r="G20" s="2">
        <v>36</v>
      </c>
      <c r="H20" s="2">
        <v>47</v>
      </c>
      <c r="I20" s="2">
        <v>54</v>
      </c>
      <c r="J20" s="2">
        <v>61</v>
      </c>
      <c r="K20" s="2">
        <v>71</v>
      </c>
    </row>
    <row r="21" spans="1:11" x14ac:dyDescent="0.35">
      <c r="A21" s="2" t="s">
        <v>41</v>
      </c>
      <c r="B21" s="2" t="s">
        <v>42</v>
      </c>
      <c r="C21" s="2" t="s">
        <v>33</v>
      </c>
      <c r="D21" s="2" t="s">
        <v>14</v>
      </c>
      <c r="E21" s="2" t="s">
        <v>17</v>
      </c>
      <c r="F21" s="2">
        <v>48</v>
      </c>
      <c r="G21" s="2">
        <v>64</v>
      </c>
      <c r="H21" s="2">
        <v>56</v>
      </c>
      <c r="I21" s="2">
        <v>64</v>
      </c>
      <c r="J21" s="2">
        <v>55</v>
      </c>
      <c r="K21" s="2">
        <v>69</v>
      </c>
    </row>
    <row r="22" spans="1:11" x14ac:dyDescent="0.35">
      <c r="A22" s="2" t="s">
        <v>41</v>
      </c>
      <c r="B22" s="2" t="s">
        <v>42</v>
      </c>
      <c r="C22" s="2" t="s">
        <v>23</v>
      </c>
      <c r="D22" s="2" t="s">
        <v>19</v>
      </c>
      <c r="E22" s="2" t="s">
        <v>20</v>
      </c>
      <c r="F22" s="2">
        <v>41</v>
      </c>
      <c r="G22" s="2">
        <v>58</v>
      </c>
      <c r="H22" s="2">
        <v>46</v>
      </c>
      <c r="I22" s="2">
        <v>54</v>
      </c>
      <c r="J22" s="2">
        <v>48</v>
      </c>
      <c r="K22" s="2">
        <v>57</v>
      </c>
    </row>
    <row r="23" spans="1:11" x14ac:dyDescent="0.35">
      <c r="A23" s="2" t="s">
        <v>43</v>
      </c>
      <c r="B23" s="2" t="s">
        <v>44</v>
      </c>
      <c r="C23" s="2" t="s">
        <v>23</v>
      </c>
      <c r="D23" s="2" t="s">
        <v>14</v>
      </c>
      <c r="E23" s="2" t="s">
        <v>15</v>
      </c>
      <c r="F23" s="2">
        <v>67</v>
      </c>
      <c r="G23" s="2">
        <v>70</v>
      </c>
      <c r="H23" s="2">
        <v>59</v>
      </c>
      <c r="I23" s="2">
        <v>84</v>
      </c>
      <c r="J23" s="2">
        <v>77</v>
      </c>
      <c r="K23" s="2">
        <v>84</v>
      </c>
    </row>
    <row r="24" spans="1:11" x14ac:dyDescent="0.35">
      <c r="A24" s="2" t="s">
        <v>43</v>
      </c>
      <c r="B24" s="2" t="s">
        <v>45</v>
      </c>
      <c r="C24" s="2" t="s">
        <v>30</v>
      </c>
      <c r="D24" s="2" t="s">
        <v>14</v>
      </c>
      <c r="E24" s="2" t="s">
        <v>17</v>
      </c>
      <c r="F24" s="2">
        <v>68</v>
      </c>
      <c r="G24" s="2">
        <v>64</v>
      </c>
      <c r="H24" s="2">
        <v>53</v>
      </c>
      <c r="I24" s="2">
        <v>65</v>
      </c>
      <c r="J24" s="2">
        <v>81</v>
      </c>
      <c r="K24" s="2">
        <v>67</v>
      </c>
    </row>
    <row r="25" spans="1:11" x14ac:dyDescent="0.35">
      <c r="A25" s="2" t="s">
        <v>43</v>
      </c>
      <c r="B25" s="2" t="s">
        <v>45</v>
      </c>
      <c r="C25" s="2" t="s">
        <v>23</v>
      </c>
      <c r="D25" s="2" t="s">
        <v>14</v>
      </c>
      <c r="E25" s="2" t="s">
        <v>20</v>
      </c>
      <c r="F25" s="2">
        <v>67</v>
      </c>
      <c r="G25" s="2">
        <v>63</v>
      </c>
      <c r="H25" s="2">
        <v>68</v>
      </c>
      <c r="I25" s="2">
        <v>57</v>
      </c>
      <c r="J25" s="2">
        <v>79</v>
      </c>
      <c r="K25" s="2">
        <v>73</v>
      </c>
    </row>
    <row r="26" spans="1:11" x14ac:dyDescent="0.35">
      <c r="A26" s="2" t="s">
        <v>46</v>
      </c>
      <c r="B26" s="2" t="s">
        <v>47</v>
      </c>
      <c r="C26" s="2" t="s">
        <v>23</v>
      </c>
      <c r="D26" s="2" t="s">
        <v>14</v>
      </c>
      <c r="E26" s="2" t="s">
        <v>15</v>
      </c>
      <c r="F26" s="2">
        <v>55</v>
      </c>
      <c r="G26" s="2">
        <v>56</v>
      </c>
      <c r="H26" s="2">
        <v>59</v>
      </c>
      <c r="I26" s="2">
        <v>57</v>
      </c>
      <c r="J26" s="2">
        <v>64</v>
      </c>
      <c r="K26" s="2" t="s">
        <v>48</v>
      </c>
    </row>
    <row r="27" spans="1:11" x14ac:dyDescent="0.35">
      <c r="A27" s="2" t="s">
        <v>46</v>
      </c>
      <c r="B27" s="2" t="s">
        <v>47</v>
      </c>
      <c r="C27" s="2" t="s">
        <v>23</v>
      </c>
      <c r="D27" s="2" t="s">
        <v>14</v>
      </c>
      <c r="E27" s="2" t="s">
        <v>17</v>
      </c>
      <c r="F27" s="2">
        <v>40</v>
      </c>
      <c r="G27" s="2">
        <v>59</v>
      </c>
      <c r="H27" s="2">
        <v>52</v>
      </c>
      <c r="I27" s="2">
        <v>55</v>
      </c>
      <c r="J27" s="2">
        <v>57</v>
      </c>
      <c r="K27" s="2">
        <v>63</v>
      </c>
    </row>
    <row r="28" spans="1:11" x14ac:dyDescent="0.35">
      <c r="A28" s="2" t="s">
        <v>46</v>
      </c>
      <c r="B28" s="2" t="s">
        <v>47</v>
      </c>
      <c r="C28" s="2" t="s">
        <v>23</v>
      </c>
      <c r="D28" s="2" t="s">
        <v>14</v>
      </c>
      <c r="E28" s="2" t="s">
        <v>20</v>
      </c>
      <c r="F28" s="2">
        <v>43</v>
      </c>
      <c r="G28" s="2">
        <v>56</v>
      </c>
      <c r="H28" s="2">
        <v>44</v>
      </c>
      <c r="I28" s="2">
        <v>53</v>
      </c>
      <c r="J28" s="2">
        <v>64</v>
      </c>
      <c r="K28" s="2">
        <v>66</v>
      </c>
    </row>
    <row r="29" spans="1:11" x14ac:dyDescent="0.35">
      <c r="A29" s="2" t="s">
        <v>49</v>
      </c>
      <c r="B29" s="2" t="s">
        <v>50</v>
      </c>
      <c r="C29" s="2" t="s">
        <v>18</v>
      </c>
      <c r="D29" s="2" t="s">
        <v>14</v>
      </c>
      <c r="E29" s="2" t="s">
        <v>15</v>
      </c>
      <c r="F29" s="2">
        <v>44</v>
      </c>
      <c r="G29" s="2">
        <v>63</v>
      </c>
      <c r="H29" s="2">
        <v>48</v>
      </c>
      <c r="I29" s="2">
        <v>66</v>
      </c>
      <c r="J29" s="2">
        <v>48</v>
      </c>
      <c r="K29" s="2">
        <v>56</v>
      </c>
    </row>
    <row r="30" spans="1:11" x14ac:dyDescent="0.35">
      <c r="A30" s="2" t="s">
        <v>49</v>
      </c>
      <c r="B30" s="2" t="s">
        <v>50</v>
      </c>
      <c r="C30" s="2" t="s">
        <v>18</v>
      </c>
      <c r="D30" s="2" t="s">
        <v>14</v>
      </c>
      <c r="E30" s="2" t="s">
        <v>17</v>
      </c>
      <c r="F30" s="2">
        <v>52</v>
      </c>
      <c r="G30" s="2">
        <v>60</v>
      </c>
      <c r="H30" s="2">
        <v>70</v>
      </c>
      <c r="I30" s="2">
        <v>71</v>
      </c>
      <c r="J30" s="2">
        <v>77</v>
      </c>
      <c r="K30" s="2">
        <v>76</v>
      </c>
    </row>
    <row r="31" spans="1:11" x14ac:dyDescent="0.35">
      <c r="A31" s="2" t="s">
        <v>49</v>
      </c>
      <c r="B31" s="2" t="s">
        <v>50</v>
      </c>
      <c r="C31" s="2" t="s">
        <v>18</v>
      </c>
      <c r="D31" s="2" t="s">
        <v>14</v>
      </c>
      <c r="E31" s="2" t="s">
        <v>20</v>
      </c>
      <c r="F31" s="2">
        <v>58</v>
      </c>
      <c r="G31" s="2">
        <v>64</v>
      </c>
      <c r="H31" s="2">
        <v>71</v>
      </c>
      <c r="I31" s="2">
        <v>69</v>
      </c>
      <c r="J31" s="2">
        <v>68</v>
      </c>
      <c r="K31" s="2">
        <v>62</v>
      </c>
    </row>
    <row r="32" spans="1:11" x14ac:dyDescent="0.35">
      <c r="A32" s="2" t="s">
        <v>51</v>
      </c>
      <c r="B32" s="2" t="s">
        <v>52</v>
      </c>
      <c r="C32" s="2" t="s">
        <v>18</v>
      </c>
      <c r="D32" s="2" t="s">
        <v>38</v>
      </c>
      <c r="E32" s="2" t="s">
        <v>15</v>
      </c>
      <c r="F32" s="2">
        <v>37</v>
      </c>
      <c r="G32" s="2">
        <v>24</v>
      </c>
      <c r="H32" s="2">
        <v>39</v>
      </c>
      <c r="I32" s="2">
        <v>40</v>
      </c>
      <c r="J32" s="2">
        <v>53</v>
      </c>
      <c r="K32" s="2">
        <v>46</v>
      </c>
    </row>
    <row r="33" spans="1:11" x14ac:dyDescent="0.35">
      <c r="A33" s="2" t="s">
        <v>51</v>
      </c>
      <c r="B33" s="2" t="s">
        <v>53</v>
      </c>
      <c r="C33" s="2" t="s">
        <v>18</v>
      </c>
      <c r="D33" s="2" t="s">
        <v>34</v>
      </c>
      <c r="E33" s="2" t="s">
        <v>17</v>
      </c>
      <c r="F33" s="2">
        <v>41</v>
      </c>
      <c r="G33" s="2">
        <v>59</v>
      </c>
      <c r="H33" s="2">
        <v>40</v>
      </c>
      <c r="I33" s="2">
        <v>55</v>
      </c>
      <c r="J33" s="2">
        <v>41</v>
      </c>
      <c r="K33" s="2">
        <v>56</v>
      </c>
    </row>
    <row r="34" spans="1:11" x14ac:dyDescent="0.35">
      <c r="A34" s="2" t="s">
        <v>51</v>
      </c>
      <c r="B34" s="2" t="s">
        <v>53</v>
      </c>
      <c r="C34" s="2" t="s">
        <v>18</v>
      </c>
      <c r="D34" s="2" t="s">
        <v>14</v>
      </c>
      <c r="E34" s="2" t="s">
        <v>20</v>
      </c>
      <c r="F34" s="2">
        <v>53</v>
      </c>
      <c r="G34" s="2">
        <v>62</v>
      </c>
      <c r="H34" s="2"/>
      <c r="I34" s="2">
        <v>61</v>
      </c>
      <c r="J34" s="2">
        <v>62</v>
      </c>
      <c r="K34" s="2">
        <v>62</v>
      </c>
    </row>
    <row r="35" spans="1:11" x14ac:dyDescent="0.35">
      <c r="A35" s="2" t="s">
        <v>54</v>
      </c>
      <c r="B35" s="2" t="s">
        <v>55</v>
      </c>
      <c r="C35" s="2" t="s">
        <v>18</v>
      </c>
      <c r="D35" s="2" t="s">
        <v>14</v>
      </c>
      <c r="E35" s="2" t="s">
        <v>15</v>
      </c>
      <c r="F35" s="2">
        <v>63</v>
      </c>
      <c r="G35" s="2">
        <v>71</v>
      </c>
      <c r="H35" s="2">
        <v>69</v>
      </c>
      <c r="I35" s="2">
        <v>64</v>
      </c>
      <c r="J35" s="2">
        <v>63</v>
      </c>
      <c r="K35" s="2">
        <v>91</v>
      </c>
    </row>
    <row r="36" spans="1:11" x14ac:dyDescent="0.35">
      <c r="A36" s="2" t="s">
        <v>54</v>
      </c>
      <c r="B36" s="2" t="s">
        <v>55</v>
      </c>
      <c r="C36" s="2" t="s">
        <v>18</v>
      </c>
      <c r="D36" s="2" t="s">
        <v>14</v>
      </c>
      <c r="E36" s="2" t="s">
        <v>17</v>
      </c>
      <c r="F36" s="2">
        <v>79</v>
      </c>
      <c r="G36" s="2">
        <v>62</v>
      </c>
      <c r="H36" s="2">
        <v>73</v>
      </c>
      <c r="I36" s="2">
        <v>79</v>
      </c>
      <c r="J36" s="2">
        <v>81</v>
      </c>
      <c r="K36" s="2">
        <v>79</v>
      </c>
    </row>
    <row r="37" spans="1:11" x14ac:dyDescent="0.35">
      <c r="A37" s="2" t="s">
        <v>54</v>
      </c>
      <c r="B37" s="2" t="s">
        <v>55</v>
      </c>
      <c r="C37" s="2" t="s">
        <v>18</v>
      </c>
      <c r="D37" s="2" t="s">
        <v>14</v>
      </c>
      <c r="E37" s="2" t="s">
        <v>20</v>
      </c>
      <c r="F37" s="2">
        <v>63</v>
      </c>
      <c r="G37" s="2">
        <v>74</v>
      </c>
      <c r="H37" s="2">
        <v>70</v>
      </c>
      <c r="I37" s="2">
        <v>79</v>
      </c>
      <c r="J37" s="2">
        <v>77</v>
      </c>
      <c r="K37" s="2">
        <v>80</v>
      </c>
    </row>
    <row r="38" spans="1:11" x14ac:dyDescent="0.35">
      <c r="A38" s="2" t="s">
        <v>56</v>
      </c>
      <c r="B38" s="2" t="s">
        <v>57</v>
      </c>
      <c r="C38" s="2" t="s">
        <v>18</v>
      </c>
      <c r="D38" s="2" t="s">
        <v>14</v>
      </c>
      <c r="E38" s="2" t="s">
        <v>15</v>
      </c>
      <c r="F38" s="2">
        <v>69</v>
      </c>
      <c r="G38" s="2">
        <v>76</v>
      </c>
      <c r="H38" s="2">
        <v>58</v>
      </c>
      <c r="I38" s="2">
        <v>68</v>
      </c>
      <c r="J38" s="2">
        <v>66</v>
      </c>
      <c r="K38" s="2">
        <v>82</v>
      </c>
    </row>
    <row r="39" spans="1:11" x14ac:dyDescent="0.35">
      <c r="A39" s="2" t="s">
        <v>56</v>
      </c>
      <c r="B39" s="2" t="s">
        <v>58</v>
      </c>
      <c r="C39" s="2" t="s">
        <v>18</v>
      </c>
      <c r="D39" s="2" t="s">
        <v>14</v>
      </c>
      <c r="E39" s="2" t="s">
        <v>17</v>
      </c>
      <c r="F39" s="2">
        <v>61</v>
      </c>
      <c r="G39" s="2">
        <v>78</v>
      </c>
      <c r="H39" s="2">
        <v>62</v>
      </c>
      <c r="I39" s="2">
        <v>71</v>
      </c>
      <c r="J39" s="2">
        <v>62</v>
      </c>
      <c r="K39" s="2">
        <v>83</v>
      </c>
    </row>
    <row r="40" spans="1:11" x14ac:dyDescent="0.35">
      <c r="A40" s="2" t="s">
        <v>56</v>
      </c>
      <c r="B40" s="2" t="s">
        <v>59</v>
      </c>
      <c r="C40" s="2" t="s">
        <v>37</v>
      </c>
      <c r="D40" s="2" t="s">
        <v>34</v>
      </c>
      <c r="E40" s="2" t="s">
        <v>20</v>
      </c>
      <c r="F40" s="2">
        <v>58</v>
      </c>
      <c r="G40" s="2">
        <v>57</v>
      </c>
      <c r="H40" s="2">
        <v>61</v>
      </c>
      <c r="I40" s="2">
        <v>54</v>
      </c>
      <c r="J40" s="2">
        <v>71</v>
      </c>
      <c r="K40" s="2">
        <v>74</v>
      </c>
    </row>
    <row r="41" spans="1:11" x14ac:dyDescent="0.35">
      <c r="A41" s="2" t="s">
        <v>60</v>
      </c>
      <c r="B41" s="2" t="s">
        <v>61</v>
      </c>
      <c r="C41" s="2" t="s">
        <v>18</v>
      </c>
      <c r="D41" s="2" t="s">
        <v>14</v>
      </c>
      <c r="E41" s="2" t="s">
        <v>15</v>
      </c>
      <c r="F41" s="2">
        <v>52</v>
      </c>
      <c r="G41" s="2">
        <v>66</v>
      </c>
      <c r="H41" s="2">
        <v>51</v>
      </c>
      <c r="I41" s="2">
        <v>64</v>
      </c>
      <c r="J41" s="2">
        <v>62</v>
      </c>
      <c r="K41" s="2">
        <v>60</v>
      </c>
    </row>
    <row r="42" spans="1:11" x14ac:dyDescent="0.35">
      <c r="A42" s="2" t="s">
        <v>60</v>
      </c>
      <c r="B42" s="2" t="s">
        <v>61</v>
      </c>
      <c r="C42" s="2" t="s">
        <v>18</v>
      </c>
      <c r="D42" s="2" t="s">
        <v>14</v>
      </c>
      <c r="E42" s="2" t="s">
        <v>17</v>
      </c>
      <c r="F42" s="2">
        <v>34</v>
      </c>
      <c r="G42" s="2">
        <v>61</v>
      </c>
      <c r="H42" s="2">
        <v>49</v>
      </c>
      <c r="I42" s="2">
        <v>57</v>
      </c>
      <c r="J42" s="2">
        <v>49</v>
      </c>
      <c r="K42" s="2">
        <v>62</v>
      </c>
    </row>
    <row r="43" spans="1:11" x14ac:dyDescent="0.35">
      <c r="A43" s="2" t="s">
        <v>60</v>
      </c>
      <c r="B43" s="2" t="s">
        <v>61</v>
      </c>
      <c r="C43" s="2" t="s">
        <v>18</v>
      </c>
      <c r="D43" s="2" t="s">
        <v>14</v>
      </c>
      <c r="E43" s="2" t="s">
        <v>20</v>
      </c>
      <c r="F43" s="2">
        <v>48</v>
      </c>
      <c r="G43" s="2">
        <v>53</v>
      </c>
      <c r="H43" s="2">
        <v>50</v>
      </c>
      <c r="I43" s="2">
        <v>63</v>
      </c>
      <c r="J43" s="2">
        <v>64</v>
      </c>
      <c r="K43" s="2">
        <v>64</v>
      </c>
    </row>
    <row r="44" spans="1:11" x14ac:dyDescent="0.35">
      <c r="A44" s="2" t="s">
        <v>62</v>
      </c>
      <c r="B44" s="2" t="s">
        <v>63</v>
      </c>
      <c r="C44" s="2" t="s">
        <v>18</v>
      </c>
      <c r="D44" s="2" t="s">
        <v>14</v>
      </c>
      <c r="E44" s="2" t="s">
        <v>15</v>
      </c>
      <c r="F44" s="2">
        <v>71</v>
      </c>
      <c r="G44" s="2">
        <v>50</v>
      </c>
      <c r="H44" s="2">
        <v>49</v>
      </c>
      <c r="I44" s="2">
        <v>50</v>
      </c>
      <c r="J44" s="2">
        <v>61</v>
      </c>
      <c r="K44" s="2">
        <v>55</v>
      </c>
    </row>
    <row r="45" spans="1:11" x14ac:dyDescent="0.35">
      <c r="A45" s="2" t="s">
        <v>62</v>
      </c>
      <c r="B45" s="2" t="s">
        <v>63</v>
      </c>
      <c r="C45" s="2" t="s">
        <v>18</v>
      </c>
      <c r="D45" s="2" t="s">
        <v>14</v>
      </c>
      <c r="E45" s="2" t="s">
        <v>17</v>
      </c>
      <c r="F45" s="2">
        <v>33</v>
      </c>
      <c r="G45" s="2">
        <v>49</v>
      </c>
      <c r="H45" s="2">
        <v>56</v>
      </c>
      <c r="I45" s="2">
        <v>68</v>
      </c>
      <c r="J45" s="2">
        <v>51</v>
      </c>
      <c r="K45" s="2">
        <v>59</v>
      </c>
    </row>
    <row r="46" spans="1:11" x14ac:dyDescent="0.35">
      <c r="A46" s="2" t="s">
        <v>62</v>
      </c>
      <c r="B46" s="2" t="s">
        <v>63</v>
      </c>
      <c r="C46" s="2" t="s">
        <v>18</v>
      </c>
      <c r="D46" s="2" t="s">
        <v>14</v>
      </c>
      <c r="E46" s="2" t="s">
        <v>20</v>
      </c>
      <c r="F46" s="2">
        <v>55</v>
      </c>
      <c r="G46" s="2">
        <v>56</v>
      </c>
      <c r="H46" s="2">
        <v>63</v>
      </c>
      <c r="I46" s="2">
        <v>65</v>
      </c>
      <c r="J46" s="2">
        <v>68</v>
      </c>
      <c r="K46" s="2">
        <v>62</v>
      </c>
    </row>
    <row r="47" spans="1:11" x14ac:dyDescent="0.35">
      <c r="A47" s="2" t="s">
        <v>64</v>
      </c>
      <c r="B47" s="2" t="s">
        <v>65</v>
      </c>
      <c r="C47" s="2" t="s">
        <v>18</v>
      </c>
      <c r="D47" s="2" t="s">
        <v>66</v>
      </c>
      <c r="E47" s="2" t="s">
        <v>15</v>
      </c>
      <c r="F47" s="2">
        <v>53</v>
      </c>
      <c r="G47" s="2">
        <v>49</v>
      </c>
      <c r="H47" s="2">
        <v>56</v>
      </c>
      <c r="I47" s="2">
        <v>49</v>
      </c>
      <c r="J47" s="2">
        <v>57</v>
      </c>
      <c r="K47" s="2">
        <v>50</v>
      </c>
    </row>
    <row r="48" spans="1:11" x14ac:dyDescent="0.35">
      <c r="A48" s="2" t="s">
        <v>64</v>
      </c>
      <c r="B48" s="2" t="s">
        <v>65</v>
      </c>
      <c r="C48" s="2" t="s">
        <v>16</v>
      </c>
      <c r="D48" s="2" t="s">
        <v>14</v>
      </c>
      <c r="E48" s="2" t="s">
        <v>17</v>
      </c>
      <c r="F48" s="2">
        <v>37</v>
      </c>
      <c r="G48" s="2">
        <v>44</v>
      </c>
      <c r="H48" s="2">
        <v>47</v>
      </c>
      <c r="I48" s="2">
        <v>51</v>
      </c>
      <c r="J48" s="2">
        <v>64</v>
      </c>
      <c r="K48" s="2">
        <v>47</v>
      </c>
    </row>
    <row r="49" spans="1:11" x14ac:dyDescent="0.35">
      <c r="A49" s="2" t="s">
        <v>64</v>
      </c>
      <c r="B49" s="2" t="s">
        <v>67</v>
      </c>
      <c r="C49" s="2" t="s">
        <v>18</v>
      </c>
      <c r="D49" s="2" t="s">
        <v>14</v>
      </c>
      <c r="E49" s="2" t="s">
        <v>20</v>
      </c>
      <c r="F49" s="2">
        <v>36</v>
      </c>
      <c r="G49" s="2">
        <v>62</v>
      </c>
      <c r="H49" s="2">
        <v>52</v>
      </c>
      <c r="I49" s="2">
        <v>40</v>
      </c>
      <c r="J49" s="2">
        <v>57</v>
      </c>
      <c r="K49" s="2">
        <v>58</v>
      </c>
    </row>
    <row r="50" spans="1:11" x14ac:dyDescent="0.35">
      <c r="A50" s="2" t="s">
        <v>68</v>
      </c>
      <c r="B50" s="2" t="s">
        <v>69</v>
      </c>
      <c r="C50" s="2" t="s">
        <v>23</v>
      </c>
      <c r="D50" s="2" t="s">
        <v>66</v>
      </c>
      <c r="E50" s="2" t="s">
        <v>15</v>
      </c>
      <c r="F50" s="2">
        <v>28</v>
      </c>
      <c r="G50" s="2">
        <v>46</v>
      </c>
      <c r="H50" s="2">
        <v>47</v>
      </c>
      <c r="I50" s="2">
        <v>57</v>
      </c>
      <c r="J50" s="2">
        <v>59</v>
      </c>
      <c r="K50" s="2">
        <v>55</v>
      </c>
    </row>
    <row r="51" spans="1:11" x14ac:dyDescent="0.35">
      <c r="A51" s="2" t="s">
        <v>68</v>
      </c>
      <c r="B51" s="2" t="s">
        <v>69</v>
      </c>
      <c r="C51" s="2" t="s">
        <v>33</v>
      </c>
      <c r="D51" s="2" t="s">
        <v>66</v>
      </c>
      <c r="E51" s="2" t="s">
        <v>17</v>
      </c>
      <c r="F51" s="2">
        <v>49</v>
      </c>
      <c r="G51" s="2">
        <v>47</v>
      </c>
      <c r="H51" s="2">
        <v>40</v>
      </c>
      <c r="I51" s="2">
        <v>44</v>
      </c>
      <c r="J51" s="2">
        <v>56</v>
      </c>
      <c r="K51" s="2">
        <v>40</v>
      </c>
    </row>
    <row r="52" spans="1:11" x14ac:dyDescent="0.35">
      <c r="A52" s="2" t="s">
        <v>68</v>
      </c>
      <c r="B52" s="2" t="s">
        <v>69</v>
      </c>
      <c r="C52" s="2" t="s">
        <v>23</v>
      </c>
      <c r="D52" s="2" t="s">
        <v>14</v>
      </c>
      <c r="E52" s="2" t="s">
        <v>20</v>
      </c>
      <c r="F52" s="2">
        <v>46</v>
      </c>
      <c r="G52" s="2">
        <v>39</v>
      </c>
      <c r="H52" s="2">
        <v>42</v>
      </c>
      <c r="I52" s="2">
        <v>53</v>
      </c>
      <c r="J52" s="2">
        <v>59</v>
      </c>
      <c r="K52" s="2">
        <v>39</v>
      </c>
    </row>
    <row r="53" spans="1:11" x14ac:dyDescent="0.35">
      <c r="A53" s="2" t="s">
        <v>70</v>
      </c>
      <c r="B53" s="2" t="s">
        <v>71</v>
      </c>
      <c r="C53" s="2" t="s">
        <v>18</v>
      </c>
      <c r="D53" s="2" t="s">
        <v>14</v>
      </c>
      <c r="E53" s="2" t="s">
        <v>15</v>
      </c>
      <c r="F53" s="2">
        <v>37</v>
      </c>
      <c r="G53" s="2">
        <v>49</v>
      </c>
      <c r="H53" s="2">
        <v>43</v>
      </c>
      <c r="I53" s="2">
        <v>58</v>
      </c>
      <c r="J53" s="2">
        <v>38</v>
      </c>
      <c r="K53" s="2">
        <v>57</v>
      </c>
    </row>
    <row r="54" spans="1:11" x14ac:dyDescent="0.35">
      <c r="A54" s="2" t="s">
        <v>70</v>
      </c>
      <c r="B54" s="2" t="s">
        <v>71</v>
      </c>
      <c r="C54" s="2" t="s">
        <v>18</v>
      </c>
      <c r="D54" s="2" t="s">
        <v>14</v>
      </c>
      <c r="E54" s="2" t="s">
        <v>17</v>
      </c>
      <c r="F54" s="2">
        <v>48</v>
      </c>
      <c r="G54" s="2">
        <v>51</v>
      </c>
      <c r="H54" s="2">
        <v>57</v>
      </c>
      <c r="I54" s="2">
        <v>45</v>
      </c>
      <c r="J54" s="2">
        <v>63</v>
      </c>
      <c r="K54" s="2">
        <v>52</v>
      </c>
    </row>
    <row r="55" spans="1:11" x14ac:dyDescent="0.35">
      <c r="A55" s="2" t="s">
        <v>70</v>
      </c>
      <c r="B55" s="2" t="s">
        <v>71</v>
      </c>
      <c r="C55" s="2" t="s">
        <v>37</v>
      </c>
      <c r="D55" s="2" t="s">
        <v>14</v>
      </c>
      <c r="E55" s="2" t="s">
        <v>20</v>
      </c>
      <c r="F55" s="2">
        <v>52</v>
      </c>
      <c r="G55" s="2">
        <v>51</v>
      </c>
      <c r="H55" s="2">
        <v>57</v>
      </c>
      <c r="I55" s="2">
        <v>61</v>
      </c>
      <c r="J55" s="2">
        <v>47</v>
      </c>
      <c r="K55" s="2">
        <v>58</v>
      </c>
    </row>
    <row r="56" spans="1:11" x14ac:dyDescent="0.35">
      <c r="A56" s="2" t="s">
        <v>72</v>
      </c>
      <c r="B56" s="2" t="s">
        <v>73</v>
      </c>
      <c r="C56" s="2" t="s">
        <v>33</v>
      </c>
      <c r="D56" s="2" t="s">
        <v>14</v>
      </c>
      <c r="E56" s="2" t="s">
        <v>15</v>
      </c>
      <c r="F56" s="2">
        <v>37</v>
      </c>
      <c r="G56" s="2">
        <v>42</v>
      </c>
      <c r="H56" s="2">
        <v>36</v>
      </c>
      <c r="I56" s="2">
        <v>60</v>
      </c>
      <c r="J56" s="2">
        <v>49</v>
      </c>
      <c r="K56" s="2">
        <v>60</v>
      </c>
    </row>
    <row r="57" spans="1:11" x14ac:dyDescent="0.35">
      <c r="A57" s="2" t="s">
        <v>72</v>
      </c>
      <c r="B57" s="2" t="s">
        <v>73</v>
      </c>
      <c r="C57" s="2" t="s">
        <v>33</v>
      </c>
      <c r="D57" s="2" t="s">
        <v>14</v>
      </c>
      <c r="E57" s="2" t="s">
        <v>17</v>
      </c>
      <c r="F57" s="2">
        <v>36</v>
      </c>
      <c r="G57" s="2">
        <v>39</v>
      </c>
      <c r="H57" s="2">
        <v>45</v>
      </c>
      <c r="I57" s="2">
        <v>45</v>
      </c>
      <c r="J57" s="2">
        <v>67</v>
      </c>
      <c r="K57" s="2">
        <v>54</v>
      </c>
    </row>
    <row r="58" spans="1:11" x14ac:dyDescent="0.35">
      <c r="A58" s="2" t="s">
        <v>72</v>
      </c>
      <c r="B58" s="2" t="s">
        <v>73</v>
      </c>
      <c r="C58" s="2" t="s">
        <v>30</v>
      </c>
      <c r="D58" s="2" t="s">
        <v>14</v>
      </c>
      <c r="E58" s="2" t="s">
        <v>20</v>
      </c>
      <c r="F58" s="2">
        <v>51</v>
      </c>
      <c r="G58" s="2">
        <v>48</v>
      </c>
      <c r="H58" s="2">
        <v>45</v>
      </c>
      <c r="I58" s="2">
        <v>52</v>
      </c>
      <c r="J58" s="2">
        <v>56</v>
      </c>
      <c r="K58" s="2">
        <v>61</v>
      </c>
    </row>
    <row r="59" spans="1:11" x14ac:dyDescent="0.35">
      <c r="A59" s="2" t="s">
        <v>74</v>
      </c>
      <c r="B59" s="2" t="s">
        <v>75</v>
      </c>
      <c r="C59" s="2" t="s">
        <v>18</v>
      </c>
      <c r="D59" s="2" t="s">
        <v>14</v>
      </c>
      <c r="E59" s="2" t="s">
        <v>15</v>
      </c>
      <c r="F59" s="2">
        <v>70</v>
      </c>
      <c r="G59" s="2">
        <v>72</v>
      </c>
      <c r="H59" s="2">
        <v>67</v>
      </c>
      <c r="I59" s="2">
        <v>79</v>
      </c>
      <c r="J59" s="2">
        <v>85</v>
      </c>
      <c r="K59" s="2">
        <v>86</v>
      </c>
    </row>
    <row r="60" spans="1:11" x14ac:dyDescent="0.35">
      <c r="A60" s="2" t="s">
        <v>74</v>
      </c>
      <c r="B60" s="2" t="s">
        <v>76</v>
      </c>
      <c r="C60" s="2" t="s">
        <v>16</v>
      </c>
      <c r="D60" s="2" t="s">
        <v>14</v>
      </c>
      <c r="E60" s="2" t="s">
        <v>17</v>
      </c>
      <c r="F60" s="2">
        <v>75</v>
      </c>
      <c r="G60" s="2">
        <v>77</v>
      </c>
      <c r="H60" s="2">
        <v>81</v>
      </c>
      <c r="I60" s="2">
        <v>89</v>
      </c>
      <c r="J60" s="2">
        <v>85</v>
      </c>
      <c r="K60" s="2">
        <v>88</v>
      </c>
    </row>
    <row r="61" spans="1:11" x14ac:dyDescent="0.35">
      <c r="A61" s="2" t="s">
        <v>74</v>
      </c>
      <c r="B61" s="2" t="s">
        <v>75</v>
      </c>
      <c r="C61" s="2" t="s">
        <v>13</v>
      </c>
      <c r="D61" s="2" t="s">
        <v>14</v>
      </c>
      <c r="E61" s="2" t="s">
        <v>20</v>
      </c>
      <c r="F61" s="2">
        <v>79</v>
      </c>
      <c r="G61" s="2">
        <v>93</v>
      </c>
      <c r="H61" s="2">
        <v>81</v>
      </c>
      <c r="I61" s="2">
        <v>90</v>
      </c>
      <c r="J61" s="2" t="s">
        <v>77</v>
      </c>
      <c r="K61" s="2">
        <v>97</v>
      </c>
    </row>
    <row r="62" spans="1:11" x14ac:dyDescent="0.35">
      <c r="A62" s="2" t="s">
        <v>78</v>
      </c>
      <c r="B62" s="2" t="s">
        <v>79</v>
      </c>
      <c r="C62" s="2" t="s">
        <v>16</v>
      </c>
      <c r="D62" s="2" t="s">
        <v>14</v>
      </c>
      <c r="E62" s="2" t="s">
        <v>15</v>
      </c>
      <c r="F62" s="2">
        <v>59</v>
      </c>
      <c r="G62" s="2">
        <v>59</v>
      </c>
      <c r="H62" s="2">
        <v>57</v>
      </c>
      <c r="I62" s="2">
        <v>47</v>
      </c>
      <c r="J62" s="2">
        <v>63</v>
      </c>
      <c r="K62" s="2">
        <v>77</v>
      </c>
    </row>
    <row r="63" spans="1:11" x14ac:dyDescent="0.35">
      <c r="A63" s="2" t="s">
        <v>78</v>
      </c>
      <c r="B63" s="2" t="s">
        <v>79</v>
      </c>
      <c r="C63" s="2" t="s">
        <v>37</v>
      </c>
      <c r="D63" s="2" t="s">
        <v>19</v>
      </c>
      <c r="E63" s="2" t="s">
        <v>17</v>
      </c>
      <c r="F63" s="2">
        <v>42</v>
      </c>
      <c r="G63" s="2">
        <v>46</v>
      </c>
      <c r="H63" s="2">
        <v>50</v>
      </c>
      <c r="I63" s="2">
        <v>64</v>
      </c>
      <c r="J63" s="2">
        <v>61</v>
      </c>
      <c r="K63" s="2">
        <v>56</v>
      </c>
    </row>
    <row r="64" spans="1:11" x14ac:dyDescent="0.35">
      <c r="A64" s="2" t="s">
        <v>78</v>
      </c>
      <c r="B64" s="2" t="s">
        <v>79</v>
      </c>
      <c r="C64" s="2" t="s">
        <v>18</v>
      </c>
      <c r="D64" s="2" t="s">
        <v>66</v>
      </c>
      <c r="E64" s="2" t="s">
        <v>20</v>
      </c>
      <c r="F64" s="2">
        <v>46</v>
      </c>
      <c r="G64" s="2">
        <v>60</v>
      </c>
      <c r="H64" s="2">
        <v>55</v>
      </c>
      <c r="I64" s="2">
        <v>72</v>
      </c>
      <c r="J64" s="2">
        <v>64</v>
      </c>
      <c r="K64" s="2">
        <v>61</v>
      </c>
    </row>
    <row r="65" spans="1:11" x14ac:dyDescent="0.35">
      <c r="A65" s="2" t="s">
        <v>80</v>
      </c>
      <c r="B65" s="2" t="s">
        <v>81</v>
      </c>
      <c r="C65" s="2" t="s">
        <v>23</v>
      </c>
      <c r="D65" s="2" t="s">
        <v>38</v>
      </c>
      <c r="E65" s="2" t="s">
        <v>15</v>
      </c>
      <c r="F65" s="2">
        <v>46</v>
      </c>
      <c r="G65" s="2">
        <v>46</v>
      </c>
      <c r="H65" s="2">
        <v>39</v>
      </c>
      <c r="I65" s="2">
        <v>52</v>
      </c>
      <c r="J65" s="2">
        <v>55</v>
      </c>
      <c r="K65" s="2">
        <v>44</v>
      </c>
    </row>
    <row r="66" spans="1:11" x14ac:dyDescent="0.35">
      <c r="A66" s="2" t="s">
        <v>80</v>
      </c>
      <c r="B66" s="2" t="s">
        <v>81</v>
      </c>
      <c r="C66" s="2" t="s">
        <v>23</v>
      </c>
      <c r="D66" s="2" t="s">
        <v>14</v>
      </c>
      <c r="E66" s="2" t="s">
        <v>17</v>
      </c>
      <c r="F66" s="2">
        <v>46</v>
      </c>
      <c r="G66" s="2">
        <v>53</v>
      </c>
      <c r="H66" s="2">
        <v>56</v>
      </c>
      <c r="I66" s="2">
        <v>57</v>
      </c>
      <c r="J66" s="2">
        <v>63</v>
      </c>
      <c r="K66" s="2">
        <v>63</v>
      </c>
    </row>
    <row r="67" spans="1:11" x14ac:dyDescent="0.35">
      <c r="A67" s="2" t="s">
        <v>80</v>
      </c>
      <c r="B67" s="2" t="s">
        <v>82</v>
      </c>
      <c r="C67" s="2" t="s">
        <v>23</v>
      </c>
      <c r="D67" s="2" t="s">
        <v>38</v>
      </c>
      <c r="E67" s="2" t="s">
        <v>20</v>
      </c>
      <c r="F67" s="2">
        <v>65</v>
      </c>
      <c r="G67" s="2">
        <v>52</v>
      </c>
      <c r="H67" s="2">
        <v>73</v>
      </c>
      <c r="I67" s="2">
        <v>77</v>
      </c>
      <c r="J67" s="2">
        <v>68</v>
      </c>
      <c r="K67" s="2">
        <v>74</v>
      </c>
    </row>
    <row r="68" spans="1:11" x14ac:dyDescent="0.35">
      <c r="A68" s="2" t="s">
        <v>83</v>
      </c>
      <c r="B68" s="2" t="s">
        <v>84</v>
      </c>
      <c r="C68" s="2" t="s">
        <v>18</v>
      </c>
      <c r="D68" s="2" t="s">
        <v>14</v>
      </c>
      <c r="E68" s="2" t="s">
        <v>15</v>
      </c>
      <c r="F68" s="2">
        <v>56</v>
      </c>
      <c r="G68" s="2">
        <v>52</v>
      </c>
      <c r="H68" s="2">
        <v>57</v>
      </c>
      <c r="I68" s="2">
        <v>66</v>
      </c>
      <c r="J68" s="2">
        <v>64</v>
      </c>
      <c r="K68" s="2">
        <v>71</v>
      </c>
    </row>
    <row r="69" spans="1:11" x14ac:dyDescent="0.35">
      <c r="A69" s="2" t="s">
        <v>83</v>
      </c>
      <c r="B69" s="2" t="s">
        <v>84</v>
      </c>
      <c r="C69" s="2" t="s">
        <v>18</v>
      </c>
      <c r="D69" s="2" t="s">
        <v>14</v>
      </c>
      <c r="E69" s="2" t="s">
        <v>17</v>
      </c>
      <c r="F69" s="2">
        <v>52</v>
      </c>
      <c r="G69" s="2">
        <v>58</v>
      </c>
      <c r="H69" s="2">
        <v>50</v>
      </c>
      <c r="I69" s="2">
        <v>58</v>
      </c>
      <c r="J69" s="2">
        <v>58</v>
      </c>
      <c r="K69" s="2">
        <v>75</v>
      </c>
    </row>
    <row r="70" spans="1:11" x14ac:dyDescent="0.35">
      <c r="A70" s="2" t="s">
        <v>83</v>
      </c>
      <c r="B70" s="2" t="s">
        <v>84</v>
      </c>
      <c r="C70" s="2" t="s">
        <v>18</v>
      </c>
      <c r="D70" s="2" t="s">
        <v>19</v>
      </c>
      <c r="E70" s="2" t="s">
        <v>20</v>
      </c>
      <c r="F70" s="2">
        <v>53</v>
      </c>
      <c r="G70" s="2">
        <v>50</v>
      </c>
      <c r="H70" s="2">
        <v>58</v>
      </c>
      <c r="I70" s="2">
        <v>59</v>
      </c>
      <c r="J70" s="2">
        <v>40</v>
      </c>
      <c r="K70" s="2">
        <v>67</v>
      </c>
    </row>
    <row r="71" spans="1:11" x14ac:dyDescent="0.35">
      <c r="A71" s="2" t="s">
        <v>85</v>
      </c>
      <c r="B71" s="2" t="s">
        <v>86</v>
      </c>
      <c r="C71" s="2" t="s">
        <v>23</v>
      </c>
      <c r="D71" s="2" t="s">
        <v>14</v>
      </c>
      <c r="E71" s="2" t="s">
        <v>15</v>
      </c>
      <c r="F71" s="2">
        <v>42</v>
      </c>
      <c r="G71" s="2">
        <v>63</v>
      </c>
      <c r="H71" s="2">
        <v>51</v>
      </c>
      <c r="I71" s="2">
        <v>52</v>
      </c>
      <c r="J71" s="2">
        <v>67</v>
      </c>
      <c r="K71" s="2">
        <v>55</v>
      </c>
    </row>
    <row r="72" spans="1:11" x14ac:dyDescent="0.35">
      <c r="A72" s="2" t="s">
        <v>85</v>
      </c>
      <c r="B72" s="2" t="s">
        <v>86</v>
      </c>
      <c r="C72" s="2" t="s">
        <v>33</v>
      </c>
      <c r="D72" s="2" t="s">
        <v>14</v>
      </c>
      <c r="E72" s="2" t="s">
        <v>17</v>
      </c>
      <c r="F72" s="2">
        <v>60</v>
      </c>
      <c r="G72" s="2">
        <v>70</v>
      </c>
      <c r="H72" s="2">
        <v>71</v>
      </c>
      <c r="I72" s="2">
        <v>77</v>
      </c>
      <c r="J72" s="2">
        <v>72</v>
      </c>
      <c r="K72" s="2">
        <v>69</v>
      </c>
    </row>
    <row r="73" spans="1:11" x14ac:dyDescent="0.35">
      <c r="A73" s="2" t="s">
        <v>85</v>
      </c>
      <c r="B73" s="2" t="s">
        <v>86</v>
      </c>
      <c r="C73" s="2" t="s">
        <v>23</v>
      </c>
      <c r="D73" s="2" t="s">
        <v>14</v>
      </c>
      <c r="E73" s="2" t="s">
        <v>20</v>
      </c>
      <c r="F73" s="2">
        <v>85</v>
      </c>
      <c r="G73" s="2">
        <v>74</v>
      </c>
      <c r="H73" s="2">
        <v>89</v>
      </c>
      <c r="I73" s="2">
        <v>78</v>
      </c>
      <c r="J73" s="2">
        <v>90</v>
      </c>
      <c r="K73" s="2">
        <v>91</v>
      </c>
    </row>
    <row r="74" spans="1:11" x14ac:dyDescent="0.35">
      <c r="A74" s="2" t="s">
        <v>87</v>
      </c>
      <c r="B74" s="2" t="s">
        <v>88</v>
      </c>
      <c r="C74" s="2" t="s">
        <v>23</v>
      </c>
      <c r="D74" s="2" t="s">
        <v>14</v>
      </c>
      <c r="E74" s="2" t="s">
        <v>15</v>
      </c>
      <c r="F74" s="2">
        <v>45</v>
      </c>
      <c r="G74" s="2">
        <v>61</v>
      </c>
      <c r="H74" s="2"/>
      <c r="I74" s="2">
        <v>66</v>
      </c>
      <c r="J74" s="2">
        <v>61</v>
      </c>
      <c r="K74" s="2">
        <v>67</v>
      </c>
    </row>
    <row r="75" spans="1:11" x14ac:dyDescent="0.35">
      <c r="A75" s="2" t="s">
        <v>87</v>
      </c>
      <c r="B75" s="2" t="s">
        <v>89</v>
      </c>
      <c r="C75" s="2" t="s">
        <v>25</v>
      </c>
      <c r="D75" s="2" t="s">
        <v>14</v>
      </c>
      <c r="E75" s="2" t="s">
        <v>17</v>
      </c>
      <c r="F75" s="2">
        <v>54</v>
      </c>
      <c r="G75" s="2">
        <v>54</v>
      </c>
      <c r="H75" s="2">
        <v>67</v>
      </c>
      <c r="I75" s="2">
        <v>62</v>
      </c>
      <c r="J75" s="2">
        <v>76</v>
      </c>
      <c r="K75" s="2">
        <v>73</v>
      </c>
    </row>
    <row r="76" spans="1:11" x14ac:dyDescent="0.35">
      <c r="A76" s="2" t="s">
        <v>87</v>
      </c>
      <c r="B76" s="2" t="s">
        <v>88</v>
      </c>
      <c r="C76" s="2" t="s">
        <v>25</v>
      </c>
      <c r="D76" s="2" t="s">
        <v>14</v>
      </c>
      <c r="E76" s="2" t="s">
        <v>20</v>
      </c>
      <c r="F76" s="2">
        <v>55</v>
      </c>
      <c r="G76" s="2">
        <v>66</v>
      </c>
      <c r="H76" s="2">
        <v>63</v>
      </c>
      <c r="I76" s="2">
        <v>64</v>
      </c>
      <c r="J76" s="2">
        <v>74</v>
      </c>
      <c r="K76" s="2">
        <v>69</v>
      </c>
    </row>
    <row r="77" spans="1:11" x14ac:dyDescent="0.35">
      <c r="A77" s="2" t="s">
        <v>90</v>
      </c>
      <c r="B77" s="2" t="s">
        <v>91</v>
      </c>
      <c r="C77" s="2" t="s">
        <v>23</v>
      </c>
      <c r="D77" s="2" t="s">
        <v>14</v>
      </c>
      <c r="E77" s="2" t="s">
        <v>15</v>
      </c>
      <c r="F77" s="2">
        <v>66</v>
      </c>
      <c r="G77" s="2">
        <v>67</v>
      </c>
      <c r="H77" s="2">
        <v>52</v>
      </c>
      <c r="I77" s="2">
        <v>63</v>
      </c>
      <c r="J77" s="2">
        <v>63</v>
      </c>
      <c r="K77" s="2">
        <v>56</v>
      </c>
    </row>
    <row r="78" spans="1:11" x14ac:dyDescent="0.35">
      <c r="A78" s="2" t="s">
        <v>90</v>
      </c>
      <c r="B78" s="2" t="s">
        <v>91</v>
      </c>
      <c r="C78" s="2" t="s">
        <v>23</v>
      </c>
      <c r="D78" s="2" t="s">
        <v>66</v>
      </c>
      <c r="E78" s="2" t="s">
        <v>17</v>
      </c>
      <c r="F78" s="2">
        <v>62</v>
      </c>
      <c r="G78" s="2">
        <v>68</v>
      </c>
      <c r="H78" s="2">
        <v>66</v>
      </c>
      <c r="I78" s="2">
        <v>61</v>
      </c>
      <c r="J78" s="2">
        <v>73</v>
      </c>
      <c r="K78" s="2">
        <v>66</v>
      </c>
    </row>
    <row r="79" spans="1:11" x14ac:dyDescent="0.35">
      <c r="A79" s="2" t="s">
        <v>90</v>
      </c>
      <c r="B79" s="2" t="s">
        <v>91</v>
      </c>
      <c r="C79" s="2" t="s">
        <v>23</v>
      </c>
      <c r="D79" s="2" t="s">
        <v>14</v>
      </c>
      <c r="E79" s="2" t="s">
        <v>20</v>
      </c>
      <c r="F79" s="2">
        <v>63</v>
      </c>
      <c r="G79" s="2">
        <v>75</v>
      </c>
      <c r="H79" s="2">
        <v>61</v>
      </c>
      <c r="I79" s="2">
        <v>55</v>
      </c>
      <c r="J79" s="2">
        <v>64</v>
      </c>
      <c r="K79" s="2">
        <v>73</v>
      </c>
    </row>
    <row r="80" spans="1:11" x14ac:dyDescent="0.35">
      <c r="A80" s="2" t="s">
        <v>92</v>
      </c>
      <c r="B80" s="2" t="s">
        <v>93</v>
      </c>
      <c r="C80" s="2" t="s">
        <v>33</v>
      </c>
      <c r="D80" s="2" t="s">
        <v>14</v>
      </c>
      <c r="E80" s="2" t="s">
        <v>15</v>
      </c>
      <c r="F80" s="2">
        <v>46</v>
      </c>
      <c r="G80" s="2">
        <v>35</v>
      </c>
      <c r="H80" s="2">
        <v>40</v>
      </c>
      <c r="I80" s="2">
        <v>48</v>
      </c>
      <c r="J80" s="2">
        <v>50</v>
      </c>
      <c r="K80" s="2">
        <v>56</v>
      </c>
    </row>
    <row r="81" spans="1:11" x14ac:dyDescent="0.35">
      <c r="A81" s="2" t="s">
        <v>92</v>
      </c>
      <c r="B81" s="2" t="s">
        <v>93</v>
      </c>
      <c r="C81" s="2" t="s">
        <v>23</v>
      </c>
      <c r="D81" s="2" t="s">
        <v>14</v>
      </c>
      <c r="E81" s="2" t="s">
        <v>17</v>
      </c>
      <c r="F81" s="2">
        <v>31</v>
      </c>
      <c r="G81" s="2">
        <v>41</v>
      </c>
      <c r="H81" s="2">
        <v>49</v>
      </c>
      <c r="I81" s="2">
        <v>50</v>
      </c>
      <c r="J81" s="2">
        <v>51</v>
      </c>
      <c r="K81" s="2">
        <v>58</v>
      </c>
    </row>
    <row r="82" spans="1:11" x14ac:dyDescent="0.35">
      <c r="A82" s="2" t="s">
        <v>92</v>
      </c>
      <c r="B82" s="2" t="s">
        <v>93</v>
      </c>
      <c r="C82" s="2" t="s">
        <v>23</v>
      </c>
      <c r="D82" s="2" t="s">
        <v>14</v>
      </c>
      <c r="E82" s="2" t="s">
        <v>20</v>
      </c>
      <c r="F82" s="2">
        <v>40</v>
      </c>
      <c r="G82" s="2">
        <v>49</v>
      </c>
      <c r="H82" s="2">
        <v>41</v>
      </c>
      <c r="I82" s="2">
        <v>38</v>
      </c>
      <c r="J82" s="2">
        <v>40</v>
      </c>
      <c r="K82" s="2">
        <v>51</v>
      </c>
    </row>
    <row r="83" spans="1:11" x14ac:dyDescent="0.35">
      <c r="A83" s="2" t="s">
        <v>94</v>
      </c>
      <c r="B83" s="2" t="s">
        <v>95</v>
      </c>
      <c r="C83" s="2" t="s">
        <v>33</v>
      </c>
      <c r="D83" s="2" t="s">
        <v>14</v>
      </c>
      <c r="E83" s="2" t="s">
        <v>15</v>
      </c>
      <c r="F83" s="2">
        <v>47</v>
      </c>
      <c r="G83" s="2">
        <v>50</v>
      </c>
      <c r="H83" s="2">
        <v>55</v>
      </c>
      <c r="I83" s="2">
        <v>51</v>
      </c>
      <c r="J83" s="2">
        <v>59</v>
      </c>
      <c r="K83" s="2">
        <v>60</v>
      </c>
    </row>
    <row r="84" spans="1:11" x14ac:dyDescent="0.35">
      <c r="A84" s="2" t="s">
        <v>94</v>
      </c>
      <c r="B84" s="2" t="s">
        <v>95</v>
      </c>
      <c r="C84" s="2" t="s">
        <v>23</v>
      </c>
      <c r="D84" s="2" t="s">
        <v>14</v>
      </c>
      <c r="E84" s="2" t="s">
        <v>17</v>
      </c>
      <c r="F84" s="2">
        <v>47</v>
      </c>
      <c r="G84" s="2">
        <v>42</v>
      </c>
      <c r="H84" s="2">
        <v>67</v>
      </c>
      <c r="I84" s="2">
        <v>64</v>
      </c>
      <c r="J84" s="2">
        <v>44</v>
      </c>
      <c r="K84" s="2">
        <v>62</v>
      </c>
    </row>
    <row r="85" spans="1:11" x14ac:dyDescent="0.35">
      <c r="A85" s="2" t="s">
        <v>94</v>
      </c>
      <c r="B85" s="2" t="s">
        <v>96</v>
      </c>
      <c r="C85" s="2" t="s">
        <v>23</v>
      </c>
      <c r="D85" s="2" t="s">
        <v>14</v>
      </c>
      <c r="E85" s="2" t="s">
        <v>20</v>
      </c>
      <c r="F85" s="2">
        <v>59</v>
      </c>
      <c r="G85" s="2">
        <v>61</v>
      </c>
      <c r="H85" s="2">
        <v>65</v>
      </c>
      <c r="I85" s="2">
        <v>59</v>
      </c>
      <c r="J85" s="2">
        <v>68</v>
      </c>
      <c r="K85" s="2">
        <v>68</v>
      </c>
    </row>
    <row r="86" spans="1:11" x14ac:dyDescent="0.35">
      <c r="A86" s="2" t="s">
        <v>97</v>
      </c>
      <c r="B86" s="2" t="s">
        <v>98</v>
      </c>
      <c r="C86" s="2" t="s">
        <v>23</v>
      </c>
      <c r="D86" s="2" t="s">
        <v>14</v>
      </c>
      <c r="E86" s="2" t="s">
        <v>15</v>
      </c>
      <c r="F86" s="2">
        <v>60</v>
      </c>
      <c r="G86" s="2">
        <v>66</v>
      </c>
      <c r="H86" s="2">
        <v>66</v>
      </c>
      <c r="I86" s="2">
        <v>77</v>
      </c>
      <c r="J86" s="2">
        <v>67</v>
      </c>
      <c r="K86" s="2">
        <v>70</v>
      </c>
    </row>
    <row r="87" spans="1:11" x14ac:dyDescent="0.35">
      <c r="A87" s="2" t="s">
        <v>97</v>
      </c>
      <c r="B87" s="2" t="s">
        <v>99</v>
      </c>
      <c r="C87" s="2" t="s">
        <v>25</v>
      </c>
      <c r="D87" s="2" t="s">
        <v>14</v>
      </c>
      <c r="E87" s="2" t="s">
        <v>17</v>
      </c>
      <c r="F87" s="2">
        <v>67</v>
      </c>
      <c r="G87" s="2">
        <v>71</v>
      </c>
      <c r="H87" s="2">
        <v>73</v>
      </c>
      <c r="I87" s="2">
        <v>80</v>
      </c>
      <c r="J87" s="2">
        <v>85</v>
      </c>
      <c r="K87" s="2">
        <v>78</v>
      </c>
    </row>
    <row r="88" spans="1:11" x14ac:dyDescent="0.35">
      <c r="A88" s="2" t="s">
        <v>97</v>
      </c>
      <c r="B88" s="2" t="s">
        <v>99</v>
      </c>
      <c r="C88" s="2" t="s">
        <v>33</v>
      </c>
      <c r="D88" s="2" t="s">
        <v>14</v>
      </c>
      <c r="E88" s="2" t="s">
        <v>20</v>
      </c>
      <c r="F88" s="2">
        <v>56</v>
      </c>
      <c r="G88" s="2">
        <v>77</v>
      </c>
      <c r="H88" s="2">
        <v>78</v>
      </c>
      <c r="I88" s="2">
        <v>79</v>
      </c>
      <c r="J88" s="2">
        <v>81</v>
      </c>
      <c r="K88" s="2">
        <v>67</v>
      </c>
    </row>
    <row r="89" spans="1:11" x14ac:dyDescent="0.35">
      <c r="A89" s="2" t="s">
        <v>100</v>
      </c>
      <c r="B89" s="2" t="s">
        <v>101</v>
      </c>
      <c r="C89" s="2" t="s">
        <v>23</v>
      </c>
      <c r="D89" s="2" t="s">
        <v>14</v>
      </c>
      <c r="E89" s="2" t="s">
        <v>15</v>
      </c>
      <c r="F89" s="2">
        <v>58</v>
      </c>
      <c r="G89" s="2">
        <v>58</v>
      </c>
      <c r="H89" s="2">
        <v>48</v>
      </c>
      <c r="I89" s="2">
        <v>57</v>
      </c>
      <c r="J89" s="2">
        <v>58</v>
      </c>
      <c r="K89" s="2">
        <v>71</v>
      </c>
    </row>
    <row r="90" spans="1:11" x14ac:dyDescent="0.35">
      <c r="A90" s="2" t="s">
        <v>100</v>
      </c>
      <c r="B90" s="2" t="s">
        <v>101</v>
      </c>
      <c r="C90" s="2" t="s">
        <v>23</v>
      </c>
      <c r="D90" s="2" t="s">
        <v>14</v>
      </c>
      <c r="E90" s="2" t="s">
        <v>17</v>
      </c>
      <c r="F90" s="2">
        <v>63</v>
      </c>
      <c r="G90" s="2">
        <v>76</v>
      </c>
      <c r="H90" s="2">
        <v>68</v>
      </c>
      <c r="I90" s="2">
        <v>59</v>
      </c>
      <c r="J90" s="2">
        <v>60</v>
      </c>
      <c r="K90" s="2">
        <v>79</v>
      </c>
    </row>
    <row r="91" spans="1:11" x14ac:dyDescent="0.35">
      <c r="A91" s="2" t="s">
        <v>100</v>
      </c>
      <c r="B91" s="2" t="s">
        <v>101</v>
      </c>
      <c r="C91" s="2" t="s">
        <v>23</v>
      </c>
      <c r="D91" s="2" t="s">
        <v>14</v>
      </c>
      <c r="E91" s="2" t="s">
        <v>20</v>
      </c>
      <c r="F91" s="2">
        <v>76</v>
      </c>
      <c r="G91" s="2">
        <v>69</v>
      </c>
      <c r="H91" s="2">
        <v>73</v>
      </c>
      <c r="I91" s="2">
        <v>63</v>
      </c>
      <c r="J91" s="2">
        <v>61</v>
      </c>
      <c r="K91" s="2">
        <v>68</v>
      </c>
    </row>
    <row r="92" spans="1:11" x14ac:dyDescent="0.35">
      <c r="A92" s="2" t="s">
        <v>102</v>
      </c>
      <c r="B92" s="2" t="s">
        <v>103</v>
      </c>
      <c r="C92" s="2" t="s">
        <v>18</v>
      </c>
      <c r="D92" s="2" t="s">
        <v>19</v>
      </c>
      <c r="E92" s="2" t="s">
        <v>15</v>
      </c>
      <c r="F92" s="2">
        <v>39</v>
      </c>
      <c r="G92" s="2">
        <v>44</v>
      </c>
      <c r="H92" s="2">
        <v>44</v>
      </c>
      <c r="I92" s="2">
        <v>48</v>
      </c>
      <c r="J92" s="2">
        <v>57</v>
      </c>
      <c r="K92" s="2">
        <v>64</v>
      </c>
    </row>
    <row r="93" spans="1:11" x14ac:dyDescent="0.35">
      <c r="A93" s="2" t="s">
        <v>102</v>
      </c>
      <c r="B93" s="2" t="s">
        <v>103</v>
      </c>
      <c r="C93" s="2" t="s">
        <v>18</v>
      </c>
      <c r="D93" s="2" t="s">
        <v>19</v>
      </c>
      <c r="E93" s="2" t="s">
        <v>17</v>
      </c>
      <c r="F93" s="2">
        <v>49</v>
      </c>
      <c r="G93" s="2">
        <v>69</v>
      </c>
      <c r="H93" s="2">
        <v>48</v>
      </c>
      <c r="I93" s="2">
        <v>54</v>
      </c>
      <c r="J93" s="2">
        <v>61</v>
      </c>
      <c r="K93" s="2">
        <v>58</v>
      </c>
    </row>
    <row r="94" spans="1:11" x14ac:dyDescent="0.35">
      <c r="A94" s="2" t="s">
        <v>102</v>
      </c>
      <c r="B94" s="2" t="s">
        <v>103</v>
      </c>
      <c r="C94" s="2" t="s">
        <v>18</v>
      </c>
      <c r="D94" s="2" t="s">
        <v>19</v>
      </c>
      <c r="E94" s="2" t="s">
        <v>20</v>
      </c>
      <c r="F94" s="2">
        <v>63</v>
      </c>
      <c r="G94" s="2">
        <v>56</v>
      </c>
      <c r="H94" s="2">
        <v>68</v>
      </c>
      <c r="I94" s="2">
        <v>65</v>
      </c>
      <c r="J94" s="2">
        <v>83</v>
      </c>
      <c r="K94" s="2">
        <v>63</v>
      </c>
    </row>
    <row r="95" spans="1:11" x14ac:dyDescent="0.35">
      <c r="A95" s="2" t="s">
        <v>104</v>
      </c>
      <c r="B95" s="2" t="s">
        <v>105</v>
      </c>
      <c r="C95" s="2" t="s">
        <v>18</v>
      </c>
      <c r="D95" s="2" t="s">
        <v>14</v>
      </c>
      <c r="E95" s="2" t="s">
        <v>15</v>
      </c>
      <c r="F95" s="2">
        <v>56</v>
      </c>
      <c r="G95" s="2">
        <v>64</v>
      </c>
      <c r="H95" s="2" t="s">
        <v>106</v>
      </c>
      <c r="I95" s="2">
        <v>70</v>
      </c>
      <c r="J95" s="2">
        <v>71</v>
      </c>
      <c r="K95" s="2">
        <v>70</v>
      </c>
    </row>
    <row r="96" spans="1:11" x14ac:dyDescent="0.35">
      <c r="A96" s="2" t="s">
        <v>104</v>
      </c>
      <c r="B96" s="2" t="s">
        <v>105</v>
      </c>
      <c r="C96" s="2" t="s">
        <v>18</v>
      </c>
      <c r="D96" s="2" t="s">
        <v>14</v>
      </c>
      <c r="E96" s="2" t="s">
        <v>17</v>
      </c>
      <c r="F96" s="2">
        <v>47</v>
      </c>
      <c r="G96" s="2">
        <v>53</v>
      </c>
      <c r="H96" s="2">
        <v>66</v>
      </c>
      <c r="I96" s="2">
        <v>75</v>
      </c>
      <c r="J96" s="2">
        <v>79</v>
      </c>
      <c r="K96" s="2">
        <v>64</v>
      </c>
    </row>
    <row r="97" spans="1:11" x14ac:dyDescent="0.35">
      <c r="A97" s="2" t="s">
        <v>104</v>
      </c>
      <c r="B97" s="2" t="s">
        <v>105</v>
      </c>
      <c r="C97" s="2" t="s">
        <v>18</v>
      </c>
      <c r="D97" s="2" t="s">
        <v>14</v>
      </c>
      <c r="E97" s="2" t="s">
        <v>20</v>
      </c>
      <c r="F97" s="2">
        <v>52</v>
      </c>
      <c r="G97" s="2">
        <v>63</v>
      </c>
      <c r="H97" s="2">
        <v>49</v>
      </c>
      <c r="I97" s="2">
        <v>64</v>
      </c>
      <c r="J97" s="2">
        <v>75</v>
      </c>
      <c r="K97" s="2">
        <v>83</v>
      </c>
    </row>
    <row r="98" spans="1:11" x14ac:dyDescent="0.35">
      <c r="A98" s="2" t="s">
        <v>107</v>
      </c>
      <c r="B98" s="2" t="s">
        <v>108</v>
      </c>
      <c r="C98" s="2" t="s">
        <v>18</v>
      </c>
      <c r="D98" s="2" t="s">
        <v>14</v>
      </c>
      <c r="E98" s="2" t="s">
        <v>15</v>
      </c>
      <c r="F98" s="2">
        <v>59</v>
      </c>
      <c r="G98" s="2">
        <v>74</v>
      </c>
      <c r="H98" s="2">
        <v>64</v>
      </c>
      <c r="I98" s="2">
        <v>67</v>
      </c>
      <c r="J98" s="2">
        <v>66</v>
      </c>
      <c r="K98" s="2">
        <v>70</v>
      </c>
    </row>
    <row r="99" spans="1:11" x14ac:dyDescent="0.35">
      <c r="A99" s="2" t="s">
        <v>107</v>
      </c>
      <c r="B99" s="2" t="s">
        <v>108</v>
      </c>
      <c r="C99" s="2" t="s">
        <v>18</v>
      </c>
      <c r="D99" s="2" t="s">
        <v>14</v>
      </c>
      <c r="E99" s="2" t="s">
        <v>17</v>
      </c>
      <c r="F99" s="2">
        <v>57</v>
      </c>
      <c r="G99" s="2">
        <v>64</v>
      </c>
      <c r="H99" s="2">
        <v>58</v>
      </c>
      <c r="I99" s="2">
        <v>69</v>
      </c>
      <c r="J99" s="2">
        <v>69</v>
      </c>
      <c r="K99" s="2">
        <v>60</v>
      </c>
    </row>
    <row r="100" spans="1:11" x14ac:dyDescent="0.35">
      <c r="A100" s="2" t="s">
        <v>107</v>
      </c>
      <c r="B100" s="2" t="s">
        <v>109</v>
      </c>
      <c r="C100" s="2" t="s">
        <v>37</v>
      </c>
      <c r="D100" s="2" t="s">
        <v>14</v>
      </c>
      <c r="E100" s="2" t="s">
        <v>20</v>
      </c>
      <c r="F100" s="2">
        <v>59</v>
      </c>
      <c r="G100" s="2">
        <v>60</v>
      </c>
      <c r="H100" s="2">
        <v>50</v>
      </c>
      <c r="I100" s="2">
        <v>73</v>
      </c>
      <c r="J100" s="2">
        <v>81</v>
      </c>
      <c r="K100" s="2">
        <v>89</v>
      </c>
    </row>
    <row r="101" spans="1:11" x14ac:dyDescent="0.35">
      <c r="A101" s="2" t="s">
        <v>110</v>
      </c>
      <c r="B101" s="2" t="s">
        <v>111</v>
      </c>
      <c r="C101" s="2" t="s">
        <v>18</v>
      </c>
      <c r="D101" s="2" t="s">
        <v>14</v>
      </c>
      <c r="E101" s="2" t="s">
        <v>15</v>
      </c>
      <c r="F101" s="2">
        <v>76</v>
      </c>
      <c r="G101" s="2">
        <v>64</v>
      </c>
      <c r="H101" s="2">
        <v>77</v>
      </c>
      <c r="I101" s="2">
        <v>81</v>
      </c>
      <c r="J101" s="2">
        <v>61</v>
      </c>
      <c r="K101" s="2">
        <v>83</v>
      </c>
    </row>
    <row r="102" spans="1:11" x14ac:dyDescent="0.35">
      <c r="A102" s="2" t="s">
        <v>110</v>
      </c>
      <c r="B102" s="2" t="s">
        <v>112</v>
      </c>
      <c r="C102" s="2" t="s">
        <v>18</v>
      </c>
      <c r="D102" s="2" t="s">
        <v>14</v>
      </c>
      <c r="E102" s="2" t="s">
        <v>17</v>
      </c>
      <c r="F102" s="2">
        <v>76</v>
      </c>
      <c r="G102" s="2">
        <v>79</v>
      </c>
      <c r="H102" s="2" t="s">
        <v>113</v>
      </c>
      <c r="I102" s="2">
        <v>81</v>
      </c>
      <c r="J102" s="2">
        <v>93</v>
      </c>
      <c r="K102" s="2">
        <v>81</v>
      </c>
    </row>
    <row r="103" spans="1:11" x14ac:dyDescent="0.35">
      <c r="A103" s="2" t="s">
        <v>110</v>
      </c>
      <c r="B103" s="2" t="s">
        <v>114</v>
      </c>
      <c r="C103" s="2" t="s">
        <v>18</v>
      </c>
      <c r="D103" s="2" t="s">
        <v>14</v>
      </c>
      <c r="E103" s="2" t="s">
        <v>20</v>
      </c>
      <c r="F103" s="2">
        <v>78</v>
      </c>
      <c r="G103" s="2">
        <v>85</v>
      </c>
      <c r="H103" s="2">
        <v>85</v>
      </c>
      <c r="I103" s="2">
        <v>76</v>
      </c>
      <c r="J103" s="2">
        <v>98</v>
      </c>
      <c r="K103" s="2">
        <v>93</v>
      </c>
    </row>
    <row r="104" spans="1:11" x14ac:dyDescent="0.35">
      <c r="A104" s="2" t="s">
        <v>115</v>
      </c>
      <c r="B104" s="2" t="s">
        <v>116</v>
      </c>
      <c r="C104" s="2" t="s">
        <v>18</v>
      </c>
      <c r="D104" s="2" t="s">
        <v>14</v>
      </c>
      <c r="E104" s="2" t="s">
        <v>15</v>
      </c>
      <c r="F104" s="2">
        <v>81</v>
      </c>
      <c r="G104" s="2">
        <v>85</v>
      </c>
      <c r="H104" s="2">
        <v>80</v>
      </c>
      <c r="I104" s="2">
        <v>84</v>
      </c>
      <c r="J104" s="2">
        <v>88</v>
      </c>
      <c r="K104" s="2">
        <v>90</v>
      </c>
    </row>
    <row r="105" spans="1:11" x14ac:dyDescent="0.35">
      <c r="A105" s="2" t="s">
        <v>115</v>
      </c>
      <c r="B105" s="2" t="s">
        <v>116</v>
      </c>
      <c r="C105" s="2" t="s">
        <v>18</v>
      </c>
      <c r="D105" s="2" t="s">
        <v>14</v>
      </c>
      <c r="E105" s="2" t="s">
        <v>17</v>
      </c>
      <c r="F105" s="2">
        <v>82</v>
      </c>
      <c r="G105" s="2">
        <v>83</v>
      </c>
      <c r="H105" s="2">
        <v>77</v>
      </c>
      <c r="I105" s="2">
        <v>97</v>
      </c>
      <c r="J105" s="2">
        <v>75</v>
      </c>
      <c r="K105" s="2">
        <v>77</v>
      </c>
    </row>
    <row r="106" spans="1:11" x14ac:dyDescent="0.35">
      <c r="A106" s="2" t="s">
        <v>115</v>
      </c>
      <c r="B106" s="2" t="s">
        <v>116</v>
      </c>
      <c r="C106" s="2" t="s">
        <v>18</v>
      </c>
      <c r="D106" s="2" t="s">
        <v>14</v>
      </c>
      <c r="E106" s="2" t="s">
        <v>20</v>
      </c>
      <c r="F106" s="2">
        <v>74</v>
      </c>
      <c r="G106" s="2">
        <v>76</v>
      </c>
      <c r="H106" s="2">
        <v>63</v>
      </c>
      <c r="I106" s="2">
        <v>78</v>
      </c>
      <c r="J106" s="2">
        <v>76</v>
      </c>
      <c r="K106" s="2">
        <v>91</v>
      </c>
    </row>
    <row r="107" spans="1:11" x14ac:dyDescent="0.35">
      <c r="A107" s="2" t="s">
        <v>117</v>
      </c>
      <c r="B107" s="2" t="s">
        <v>118</v>
      </c>
      <c r="C107" s="2" t="s">
        <v>23</v>
      </c>
      <c r="D107" s="2" t="s">
        <v>14</v>
      </c>
      <c r="E107" s="2" t="s">
        <v>15</v>
      </c>
      <c r="F107" s="2">
        <v>29</v>
      </c>
      <c r="G107" s="2">
        <v>47</v>
      </c>
      <c r="H107" s="2">
        <v>41</v>
      </c>
      <c r="I107" s="2">
        <v>41</v>
      </c>
      <c r="J107" s="2">
        <v>44</v>
      </c>
      <c r="K107" s="2">
        <v>49</v>
      </c>
    </row>
    <row r="108" spans="1:11" x14ac:dyDescent="0.35">
      <c r="A108" s="2" t="s">
        <v>117</v>
      </c>
      <c r="B108" s="2" t="s">
        <v>118</v>
      </c>
      <c r="C108" s="2" t="s">
        <v>23</v>
      </c>
      <c r="D108" s="2" t="s">
        <v>14</v>
      </c>
      <c r="E108" s="2" t="s">
        <v>17</v>
      </c>
      <c r="F108" s="2">
        <v>18</v>
      </c>
      <c r="G108" s="2">
        <v>42</v>
      </c>
      <c r="H108" s="2">
        <v>35</v>
      </c>
      <c r="I108" s="2">
        <v>55</v>
      </c>
      <c r="J108" s="2">
        <v>39</v>
      </c>
      <c r="K108" s="2">
        <v>54</v>
      </c>
    </row>
    <row r="109" spans="1:11" x14ac:dyDescent="0.35">
      <c r="A109" s="2" t="s">
        <v>117</v>
      </c>
      <c r="B109" s="2" t="s">
        <v>118</v>
      </c>
      <c r="C109" s="2" t="s">
        <v>23</v>
      </c>
      <c r="D109" s="2" t="s">
        <v>19</v>
      </c>
      <c r="E109" s="2" t="s">
        <v>20</v>
      </c>
      <c r="F109" s="2">
        <v>17</v>
      </c>
      <c r="G109" s="2">
        <v>46</v>
      </c>
      <c r="H109" s="2">
        <v>40</v>
      </c>
      <c r="I109" s="2">
        <v>41</v>
      </c>
      <c r="J109" s="2">
        <v>43</v>
      </c>
      <c r="K109" s="2">
        <v>44</v>
      </c>
    </row>
    <row r="110" spans="1:11" x14ac:dyDescent="0.35">
      <c r="A110" s="2" t="s">
        <v>119</v>
      </c>
      <c r="B110" s="2" t="s">
        <v>120</v>
      </c>
      <c r="C110" s="2" t="s">
        <v>23</v>
      </c>
      <c r="D110" s="2" t="s">
        <v>14</v>
      </c>
      <c r="E110" s="2" t="s">
        <v>15</v>
      </c>
      <c r="F110" s="2">
        <v>56</v>
      </c>
      <c r="G110" s="2">
        <v>58</v>
      </c>
      <c r="H110" s="2">
        <v>44</v>
      </c>
      <c r="I110" s="2">
        <v>61</v>
      </c>
      <c r="J110" s="2">
        <v>79</v>
      </c>
      <c r="K110" s="2">
        <v>65</v>
      </c>
    </row>
    <row r="111" spans="1:11" x14ac:dyDescent="0.35">
      <c r="A111" s="2" t="s">
        <v>119</v>
      </c>
      <c r="B111" s="2" t="s">
        <v>121</v>
      </c>
      <c r="C111" s="2" t="s">
        <v>23</v>
      </c>
      <c r="D111" s="2" t="s">
        <v>14</v>
      </c>
      <c r="E111" s="2" t="s">
        <v>17</v>
      </c>
      <c r="F111" s="2">
        <v>60</v>
      </c>
      <c r="G111" s="2">
        <v>61</v>
      </c>
      <c r="H111" s="2">
        <v>63</v>
      </c>
      <c r="I111" s="2">
        <v>68</v>
      </c>
      <c r="J111" s="2">
        <v>66</v>
      </c>
      <c r="K111" s="2">
        <v>76</v>
      </c>
    </row>
    <row r="112" spans="1:11" x14ac:dyDescent="0.35">
      <c r="A112" s="2" t="s">
        <v>119</v>
      </c>
      <c r="B112" s="2" t="s">
        <v>121</v>
      </c>
      <c r="C112" s="2" t="s">
        <v>33</v>
      </c>
      <c r="D112" s="2" t="s">
        <v>14</v>
      </c>
      <c r="E112" s="2" t="s">
        <v>20</v>
      </c>
      <c r="F112" s="2">
        <v>57</v>
      </c>
      <c r="G112" s="2">
        <v>68</v>
      </c>
      <c r="H112" s="2">
        <v>71</v>
      </c>
      <c r="I112" s="2">
        <v>70</v>
      </c>
      <c r="J112" s="2">
        <v>64</v>
      </c>
      <c r="K112" s="2">
        <v>79</v>
      </c>
    </row>
    <row r="113" spans="1:11" x14ac:dyDescent="0.35">
      <c r="A113" s="2" t="s">
        <v>122</v>
      </c>
      <c r="B113" s="2" t="s">
        <v>123</v>
      </c>
      <c r="C113" s="2" t="s">
        <v>23</v>
      </c>
      <c r="D113" s="2" t="s">
        <v>66</v>
      </c>
      <c r="E113" s="2" t="s">
        <v>15</v>
      </c>
      <c r="F113" s="2">
        <v>48</v>
      </c>
      <c r="G113" s="2">
        <v>58</v>
      </c>
      <c r="H113" s="2">
        <v>53</v>
      </c>
      <c r="I113" s="2">
        <v>63</v>
      </c>
      <c r="J113" s="2">
        <v>62</v>
      </c>
      <c r="K113" s="2">
        <v>63</v>
      </c>
    </row>
    <row r="114" spans="1:11" x14ac:dyDescent="0.35">
      <c r="A114" s="2" t="s">
        <v>122</v>
      </c>
      <c r="B114" s="2" t="s">
        <v>123</v>
      </c>
      <c r="C114" s="2" t="s">
        <v>23</v>
      </c>
      <c r="D114" s="2" t="s">
        <v>14</v>
      </c>
      <c r="E114" s="2" t="s">
        <v>17</v>
      </c>
      <c r="F114" s="2">
        <v>54</v>
      </c>
      <c r="G114" s="2">
        <v>68</v>
      </c>
      <c r="H114" s="2">
        <v>51</v>
      </c>
      <c r="I114" s="2">
        <v>62</v>
      </c>
      <c r="J114" s="2">
        <v>57</v>
      </c>
      <c r="K114" s="2">
        <v>62</v>
      </c>
    </row>
    <row r="115" spans="1:11" x14ac:dyDescent="0.35">
      <c r="A115" s="2" t="s">
        <v>122</v>
      </c>
      <c r="B115" s="2" t="s">
        <v>123</v>
      </c>
      <c r="C115" s="2" t="s">
        <v>33</v>
      </c>
      <c r="D115" s="2" t="s">
        <v>14</v>
      </c>
      <c r="E115" s="2" t="s">
        <v>20</v>
      </c>
      <c r="F115" s="2">
        <v>53</v>
      </c>
      <c r="G115" s="2">
        <v>51</v>
      </c>
      <c r="H115" s="2">
        <v>43</v>
      </c>
      <c r="I115" s="2">
        <v>49</v>
      </c>
      <c r="J115" s="2">
        <v>50</v>
      </c>
      <c r="K115" s="2">
        <v>57</v>
      </c>
    </row>
    <row r="116" spans="1:11" x14ac:dyDescent="0.35">
      <c r="A116" s="2" t="s">
        <v>124</v>
      </c>
      <c r="B116" s="2" t="s">
        <v>125</v>
      </c>
      <c r="C116" s="2" t="s">
        <v>18</v>
      </c>
      <c r="D116" s="2" t="s">
        <v>14</v>
      </c>
      <c r="E116" s="2" t="s">
        <v>15</v>
      </c>
      <c r="F116" s="2">
        <v>53</v>
      </c>
      <c r="G116" s="2">
        <v>44</v>
      </c>
      <c r="H116" s="2">
        <v>44</v>
      </c>
      <c r="I116" s="2">
        <v>50</v>
      </c>
      <c r="J116" s="2">
        <v>45</v>
      </c>
      <c r="K116" s="2">
        <v>69</v>
      </c>
    </row>
    <row r="117" spans="1:11" x14ac:dyDescent="0.35">
      <c r="A117" s="2" t="s">
        <v>124</v>
      </c>
      <c r="B117" s="2" t="s">
        <v>125</v>
      </c>
      <c r="C117" s="2" t="s">
        <v>18</v>
      </c>
      <c r="D117" s="2" t="s">
        <v>19</v>
      </c>
      <c r="E117" s="2" t="s">
        <v>17</v>
      </c>
      <c r="F117" s="2">
        <v>52</v>
      </c>
      <c r="G117" s="2">
        <v>72</v>
      </c>
      <c r="H117" s="2">
        <v>46</v>
      </c>
      <c r="I117" s="2">
        <v>70</v>
      </c>
      <c r="J117" s="2">
        <v>57</v>
      </c>
      <c r="K117" s="2">
        <v>61</v>
      </c>
    </row>
    <row r="118" spans="1:11" x14ac:dyDescent="0.35">
      <c r="A118" s="2" t="s">
        <v>124</v>
      </c>
      <c r="B118" s="2" t="s">
        <v>126</v>
      </c>
      <c r="C118" s="2" t="s">
        <v>37</v>
      </c>
      <c r="D118" s="2" t="s">
        <v>14</v>
      </c>
      <c r="E118" s="2" t="s">
        <v>20</v>
      </c>
      <c r="F118" s="2">
        <v>50</v>
      </c>
      <c r="G118" s="2">
        <v>56</v>
      </c>
      <c r="H118" s="2">
        <v>52</v>
      </c>
      <c r="I118" s="2">
        <v>68</v>
      </c>
      <c r="J118" s="2">
        <v>58</v>
      </c>
      <c r="K118" s="2">
        <v>67</v>
      </c>
    </row>
    <row r="119" spans="1:11" x14ac:dyDescent="0.35">
      <c r="A119" s="2" t="s">
        <v>127</v>
      </c>
      <c r="B119" s="2" t="s">
        <v>128</v>
      </c>
      <c r="C119" s="2" t="s">
        <v>25</v>
      </c>
      <c r="D119" s="2" t="s">
        <v>14</v>
      </c>
      <c r="E119" s="2" t="s">
        <v>15</v>
      </c>
      <c r="F119" s="2">
        <v>54</v>
      </c>
      <c r="G119" s="2">
        <v>64</v>
      </c>
      <c r="H119" s="2">
        <v>58</v>
      </c>
      <c r="I119" s="2">
        <v>65</v>
      </c>
      <c r="J119" s="2">
        <v>67</v>
      </c>
      <c r="K119" s="2">
        <v>66</v>
      </c>
    </row>
    <row r="120" spans="1:11" x14ac:dyDescent="0.35">
      <c r="A120" s="2" t="s">
        <v>127</v>
      </c>
      <c r="B120" s="2" t="s">
        <v>128</v>
      </c>
      <c r="C120" s="2" t="s">
        <v>33</v>
      </c>
      <c r="D120" s="2" t="s">
        <v>14</v>
      </c>
      <c r="E120" s="2" t="s">
        <v>17</v>
      </c>
      <c r="F120" s="2">
        <v>61</v>
      </c>
      <c r="G120" s="2">
        <v>58</v>
      </c>
      <c r="H120" s="2">
        <v>57</v>
      </c>
      <c r="I120" s="2">
        <v>81</v>
      </c>
      <c r="J120" s="2">
        <v>68</v>
      </c>
      <c r="K120" s="2">
        <v>65</v>
      </c>
    </row>
    <row r="121" spans="1:11" x14ac:dyDescent="0.35">
      <c r="A121" s="2" t="s">
        <v>127</v>
      </c>
      <c r="B121" s="2" t="s">
        <v>128</v>
      </c>
      <c r="C121" s="2" t="s">
        <v>23</v>
      </c>
      <c r="D121" s="2" t="s">
        <v>14</v>
      </c>
      <c r="E121" s="2" t="s">
        <v>20</v>
      </c>
      <c r="F121" s="2">
        <v>73</v>
      </c>
      <c r="G121" s="2">
        <v>68</v>
      </c>
      <c r="H121" s="2">
        <v>63</v>
      </c>
      <c r="I121" s="2">
        <v>62</v>
      </c>
      <c r="J121" s="2">
        <v>79</v>
      </c>
      <c r="K121" s="2">
        <v>67</v>
      </c>
    </row>
    <row r="122" spans="1:11" x14ac:dyDescent="0.35">
      <c r="A122" s="2" t="s">
        <v>129</v>
      </c>
      <c r="B122" s="2" t="s">
        <v>130</v>
      </c>
      <c r="C122" s="2" t="s">
        <v>18</v>
      </c>
      <c r="D122" s="2" t="s">
        <v>131</v>
      </c>
      <c r="E122" s="2" t="s">
        <v>15</v>
      </c>
      <c r="F122" s="2">
        <v>45</v>
      </c>
      <c r="G122" s="2">
        <v>59</v>
      </c>
      <c r="H122" s="2">
        <v>54</v>
      </c>
      <c r="I122" s="2">
        <v>57</v>
      </c>
      <c r="J122" s="2">
        <v>57</v>
      </c>
      <c r="K122" s="2">
        <v>68</v>
      </c>
    </row>
    <row r="123" spans="1:11" x14ac:dyDescent="0.35">
      <c r="A123" s="2" t="s">
        <v>129</v>
      </c>
      <c r="B123" s="2" t="s">
        <v>130</v>
      </c>
      <c r="C123" s="2" t="s">
        <v>37</v>
      </c>
      <c r="D123" s="2" t="s">
        <v>131</v>
      </c>
      <c r="E123" s="2" t="s">
        <v>17</v>
      </c>
      <c r="F123" s="2">
        <v>65</v>
      </c>
      <c r="G123" s="2">
        <v>52</v>
      </c>
      <c r="H123" s="2">
        <v>58</v>
      </c>
      <c r="I123" s="2">
        <v>72</v>
      </c>
      <c r="J123" s="2">
        <v>67</v>
      </c>
      <c r="K123" s="2">
        <v>57</v>
      </c>
    </row>
    <row r="124" spans="1:11" x14ac:dyDescent="0.35">
      <c r="A124" s="2" t="s">
        <v>129</v>
      </c>
      <c r="B124" s="2" t="s">
        <v>130</v>
      </c>
      <c r="C124" s="2" t="s">
        <v>18</v>
      </c>
      <c r="D124" s="2" t="s">
        <v>131</v>
      </c>
      <c r="E124" s="2" t="s">
        <v>20</v>
      </c>
      <c r="F124" s="2" t="s">
        <v>132</v>
      </c>
      <c r="G124" s="2">
        <v>53</v>
      </c>
      <c r="H124" s="2">
        <v>49</v>
      </c>
      <c r="I124" s="2">
        <v>56</v>
      </c>
      <c r="J124" s="2">
        <v>63</v>
      </c>
      <c r="K124" s="2">
        <v>59</v>
      </c>
    </row>
    <row r="125" spans="1:11" x14ac:dyDescent="0.35">
      <c r="A125" s="2" t="s">
        <v>133</v>
      </c>
      <c r="B125" s="2" t="s">
        <v>134</v>
      </c>
      <c r="C125" s="2" t="s">
        <v>18</v>
      </c>
      <c r="D125" s="2" t="s">
        <v>131</v>
      </c>
      <c r="E125" s="2" t="s">
        <v>15</v>
      </c>
      <c r="F125" s="2">
        <v>59</v>
      </c>
      <c r="G125" s="2">
        <v>60</v>
      </c>
      <c r="H125" s="2">
        <v>54</v>
      </c>
      <c r="I125" s="2">
        <v>68</v>
      </c>
      <c r="J125" s="2">
        <v>65</v>
      </c>
      <c r="K125" s="2">
        <v>67</v>
      </c>
    </row>
    <row r="126" spans="1:11" x14ac:dyDescent="0.35">
      <c r="A126" s="2" t="s">
        <v>133</v>
      </c>
      <c r="B126" s="2" t="s">
        <v>134</v>
      </c>
      <c r="C126" s="2" t="s">
        <v>18</v>
      </c>
      <c r="D126" s="2" t="s">
        <v>131</v>
      </c>
      <c r="E126" s="2" t="s">
        <v>17</v>
      </c>
      <c r="F126" s="2">
        <v>64</v>
      </c>
      <c r="G126" s="2">
        <v>67</v>
      </c>
      <c r="H126" s="2">
        <v>60</v>
      </c>
      <c r="I126" s="2">
        <v>72</v>
      </c>
      <c r="J126" s="2">
        <v>69</v>
      </c>
      <c r="K126" s="2">
        <v>89</v>
      </c>
    </row>
    <row r="127" spans="1:11" x14ac:dyDescent="0.35">
      <c r="A127" s="2" t="s">
        <v>133</v>
      </c>
      <c r="B127" s="2" t="s">
        <v>135</v>
      </c>
      <c r="C127" s="2" t="s">
        <v>18</v>
      </c>
      <c r="D127" s="2" t="s">
        <v>131</v>
      </c>
      <c r="E127" s="2" t="s">
        <v>20</v>
      </c>
      <c r="F127" s="2">
        <v>68</v>
      </c>
      <c r="G127" s="2">
        <v>74</v>
      </c>
      <c r="H127" s="2">
        <v>73</v>
      </c>
      <c r="I127" s="2">
        <v>70</v>
      </c>
      <c r="J127" s="2">
        <v>79</v>
      </c>
      <c r="K127" s="2">
        <v>72</v>
      </c>
    </row>
    <row r="128" spans="1:11" x14ac:dyDescent="0.35">
      <c r="A128" s="2" t="s">
        <v>136</v>
      </c>
      <c r="B128" s="2" t="s">
        <v>137</v>
      </c>
      <c r="C128" s="2" t="s">
        <v>23</v>
      </c>
      <c r="D128" s="2" t="s">
        <v>131</v>
      </c>
      <c r="E128" s="2" t="s">
        <v>15</v>
      </c>
      <c r="F128" s="2">
        <v>48</v>
      </c>
      <c r="G128" s="2">
        <v>55</v>
      </c>
      <c r="H128" s="2">
        <v>61</v>
      </c>
      <c r="I128" s="2">
        <v>51</v>
      </c>
      <c r="J128" s="2">
        <v>65</v>
      </c>
      <c r="K128" s="2">
        <v>60</v>
      </c>
    </row>
    <row r="129" spans="1:11" x14ac:dyDescent="0.35">
      <c r="A129" s="2" t="s">
        <v>136</v>
      </c>
      <c r="B129" s="2" t="s">
        <v>138</v>
      </c>
      <c r="C129" s="2" t="s">
        <v>23</v>
      </c>
      <c r="D129" s="2" t="s">
        <v>131</v>
      </c>
      <c r="E129" s="2" t="s">
        <v>17</v>
      </c>
      <c r="F129" s="2">
        <v>61</v>
      </c>
      <c r="G129" s="2">
        <v>57</v>
      </c>
      <c r="H129" s="2">
        <v>73</v>
      </c>
      <c r="I129" s="2">
        <v>70</v>
      </c>
      <c r="J129" s="2">
        <v>57</v>
      </c>
      <c r="K129" s="2">
        <v>80</v>
      </c>
    </row>
    <row r="130" spans="1:11" x14ac:dyDescent="0.35">
      <c r="A130" s="2" t="s">
        <v>136</v>
      </c>
      <c r="B130" s="2" t="s">
        <v>138</v>
      </c>
      <c r="C130" s="2" t="s">
        <v>33</v>
      </c>
      <c r="D130" s="2" t="s">
        <v>131</v>
      </c>
      <c r="E130" s="2" t="s">
        <v>20</v>
      </c>
      <c r="F130" s="2">
        <v>57</v>
      </c>
      <c r="G130" s="2">
        <v>59</v>
      </c>
      <c r="H130" s="2">
        <v>55</v>
      </c>
      <c r="I130" s="2">
        <v>71</v>
      </c>
      <c r="J130" s="2">
        <v>79</v>
      </c>
      <c r="K130" s="2">
        <v>66</v>
      </c>
    </row>
    <row r="131" spans="1:11" x14ac:dyDescent="0.35">
      <c r="A131" s="2" t="s">
        <v>139</v>
      </c>
      <c r="B131" s="2" t="s">
        <v>140</v>
      </c>
      <c r="C131" s="2" t="s">
        <v>23</v>
      </c>
      <c r="D131" s="2" t="s">
        <v>131</v>
      </c>
      <c r="E131" s="2" t="s">
        <v>15</v>
      </c>
      <c r="F131" s="2">
        <v>36</v>
      </c>
      <c r="G131" s="2">
        <v>41</v>
      </c>
      <c r="H131" s="2" t="s">
        <v>141</v>
      </c>
      <c r="I131" s="2">
        <v>64</v>
      </c>
      <c r="J131" s="2">
        <v>51</v>
      </c>
      <c r="K131" s="2">
        <v>59</v>
      </c>
    </row>
    <row r="132" spans="1:11" x14ac:dyDescent="0.35">
      <c r="A132" s="2" t="s">
        <v>139</v>
      </c>
      <c r="B132" s="2" t="s">
        <v>140</v>
      </c>
      <c r="C132" s="2" t="s">
        <v>23</v>
      </c>
      <c r="D132" s="2" t="s">
        <v>131</v>
      </c>
      <c r="E132" s="2" t="s">
        <v>17</v>
      </c>
      <c r="F132" s="2">
        <v>46</v>
      </c>
      <c r="G132" s="2">
        <v>52</v>
      </c>
      <c r="H132" s="2">
        <v>57</v>
      </c>
      <c r="I132" s="2">
        <v>58</v>
      </c>
      <c r="J132" s="2">
        <v>59</v>
      </c>
      <c r="K132" s="2">
        <v>56</v>
      </c>
    </row>
    <row r="133" spans="1:11" x14ac:dyDescent="0.35">
      <c r="A133" s="2" t="s">
        <v>139</v>
      </c>
      <c r="B133" s="2" t="s">
        <v>140</v>
      </c>
      <c r="C133" s="2" t="s">
        <v>23</v>
      </c>
      <c r="D133" s="2" t="s">
        <v>131</v>
      </c>
      <c r="E133" s="2" t="s">
        <v>20</v>
      </c>
      <c r="F133" s="2">
        <v>55</v>
      </c>
      <c r="G133" s="2">
        <v>54</v>
      </c>
      <c r="H133" s="2">
        <v>54</v>
      </c>
      <c r="I133" s="2">
        <v>60</v>
      </c>
      <c r="J133" s="2">
        <v>51</v>
      </c>
      <c r="K133" s="2">
        <v>60</v>
      </c>
    </row>
    <row r="134" spans="1:11" x14ac:dyDescent="0.35">
      <c r="A134" s="2" t="s">
        <v>142</v>
      </c>
      <c r="B134" s="2" t="s">
        <v>143</v>
      </c>
      <c r="C134" s="2" t="s">
        <v>23</v>
      </c>
      <c r="D134" s="2" t="s">
        <v>131</v>
      </c>
      <c r="E134" s="2" t="s">
        <v>15</v>
      </c>
      <c r="F134" s="2">
        <v>50</v>
      </c>
      <c r="G134" s="2">
        <v>59</v>
      </c>
      <c r="H134" s="2">
        <v>49</v>
      </c>
      <c r="I134" s="2">
        <v>53</v>
      </c>
      <c r="J134" s="2">
        <v>74</v>
      </c>
      <c r="K134" s="2">
        <v>73</v>
      </c>
    </row>
    <row r="135" spans="1:11" x14ac:dyDescent="0.35">
      <c r="A135" s="2" t="s">
        <v>142</v>
      </c>
      <c r="B135" s="2" t="s">
        <v>143</v>
      </c>
      <c r="C135" s="2" t="s">
        <v>33</v>
      </c>
      <c r="D135" s="2" t="s">
        <v>131</v>
      </c>
      <c r="E135" s="2" t="s">
        <v>17</v>
      </c>
      <c r="F135" s="2">
        <v>65</v>
      </c>
      <c r="G135" s="2">
        <v>77</v>
      </c>
      <c r="H135" s="2">
        <v>65</v>
      </c>
      <c r="I135" s="2">
        <v>67</v>
      </c>
      <c r="J135" s="2">
        <v>72</v>
      </c>
      <c r="K135" s="2">
        <v>57</v>
      </c>
    </row>
    <row r="136" spans="1:11" x14ac:dyDescent="0.35">
      <c r="A136" s="2" t="s">
        <v>142</v>
      </c>
      <c r="B136" s="2" t="s">
        <v>144</v>
      </c>
      <c r="C136" s="2" t="s">
        <v>23</v>
      </c>
      <c r="D136" s="2" t="s">
        <v>145</v>
      </c>
      <c r="E136" s="2" t="s">
        <v>20</v>
      </c>
      <c r="F136" s="2">
        <v>57</v>
      </c>
      <c r="G136" s="2">
        <v>76</v>
      </c>
      <c r="H136" s="2">
        <v>69</v>
      </c>
      <c r="I136" s="2">
        <v>64</v>
      </c>
      <c r="J136" s="2">
        <v>79</v>
      </c>
      <c r="K136" s="2">
        <v>83</v>
      </c>
    </row>
    <row r="137" spans="1:11" x14ac:dyDescent="0.35">
      <c r="A137" s="2" t="s">
        <v>146</v>
      </c>
      <c r="B137" s="2" t="s">
        <v>147</v>
      </c>
      <c r="C137" s="2" t="s">
        <v>23</v>
      </c>
      <c r="D137" s="2" t="s">
        <v>148</v>
      </c>
      <c r="E137" s="2" t="s">
        <v>15</v>
      </c>
      <c r="F137" s="2">
        <v>70</v>
      </c>
      <c r="G137" s="2">
        <v>71</v>
      </c>
      <c r="H137" s="2">
        <v>64</v>
      </c>
      <c r="I137" s="2">
        <v>75</v>
      </c>
      <c r="J137" s="2">
        <v>78</v>
      </c>
      <c r="K137" s="2">
        <v>75</v>
      </c>
    </row>
    <row r="138" spans="1:11" x14ac:dyDescent="0.35">
      <c r="A138" s="2" t="s">
        <v>146</v>
      </c>
      <c r="B138" s="2" t="s">
        <v>149</v>
      </c>
      <c r="C138" s="2" t="s">
        <v>23</v>
      </c>
      <c r="D138" s="2" t="s">
        <v>131</v>
      </c>
      <c r="E138" s="2" t="s">
        <v>17</v>
      </c>
      <c r="F138" s="2">
        <v>72</v>
      </c>
      <c r="G138" s="2">
        <v>76</v>
      </c>
      <c r="H138" s="2">
        <v>74</v>
      </c>
      <c r="I138" s="2">
        <v>63</v>
      </c>
      <c r="J138" s="2">
        <v>86</v>
      </c>
      <c r="K138" s="2">
        <v>92</v>
      </c>
    </row>
    <row r="139" spans="1:11" x14ac:dyDescent="0.35">
      <c r="A139" s="2" t="s">
        <v>146</v>
      </c>
      <c r="B139" s="2" t="s">
        <v>149</v>
      </c>
      <c r="C139" s="2" t="s">
        <v>23</v>
      </c>
      <c r="D139" s="2" t="s">
        <v>131</v>
      </c>
      <c r="E139" s="2" t="s">
        <v>20</v>
      </c>
      <c r="F139" s="2">
        <v>68</v>
      </c>
      <c r="G139" s="2"/>
      <c r="H139" s="2">
        <v>79</v>
      </c>
      <c r="I139" s="2">
        <v>76</v>
      </c>
      <c r="J139" s="2">
        <v>74</v>
      </c>
      <c r="K139" s="2">
        <v>91</v>
      </c>
    </row>
    <row r="140" spans="1:11" x14ac:dyDescent="0.35">
      <c r="A140" s="2" t="s">
        <v>150</v>
      </c>
      <c r="B140" s="2" t="s">
        <v>151</v>
      </c>
      <c r="C140" s="2" t="s">
        <v>18</v>
      </c>
      <c r="D140" s="2" t="s">
        <v>131</v>
      </c>
      <c r="E140" s="2" t="s">
        <v>15</v>
      </c>
      <c r="F140" s="2">
        <v>37</v>
      </c>
      <c r="G140" s="2">
        <v>58</v>
      </c>
      <c r="H140" s="2">
        <v>42</v>
      </c>
      <c r="I140" s="2">
        <v>66</v>
      </c>
      <c r="J140" s="2">
        <v>60</v>
      </c>
      <c r="K140" s="2">
        <v>57</v>
      </c>
    </row>
    <row r="141" spans="1:11" x14ac:dyDescent="0.35">
      <c r="A141" s="2" t="s">
        <v>150</v>
      </c>
      <c r="B141" s="2" t="s">
        <v>152</v>
      </c>
      <c r="C141" s="2" t="s">
        <v>37</v>
      </c>
      <c r="D141" s="2" t="s">
        <v>131</v>
      </c>
      <c r="E141" s="2" t="s">
        <v>17</v>
      </c>
      <c r="F141" s="2">
        <v>47</v>
      </c>
      <c r="G141" s="2">
        <v>56</v>
      </c>
      <c r="H141" s="2">
        <v>56</v>
      </c>
      <c r="I141" s="2">
        <v>61</v>
      </c>
      <c r="J141" s="2">
        <v>60</v>
      </c>
      <c r="K141" s="2">
        <v>55</v>
      </c>
    </row>
    <row r="142" spans="1:11" x14ac:dyDescent="0.35">
      <c r="A142" s="2" t="s">
        <v>150</v>
      </c>
      <c r="B142" s="2" t="s">
        <v>152</v>
      </c>
      <c r="C142" s="2" t="s">
        <v>13</v>
      </c>
      <c r="D142" s="2" t="s">
        <v>131</v>
      </c>
      <c r="E142" s="2" t="s">
        <v>20</v>
      </c>
      <c r="F142" s="2">
        <v>51</v>
      </c>
      <c r="G142" s="2">
        <v>43</v>
      </c>
      <c r="H142" s="2">
        <v>57</v>
      </c>
      <c r="I142" s="2">
        <v>61</v>
      </c>
      <c r="J142" s="2">
        <v>66</v>
      </c>
      <c r="K142" s="2">
        <v>54</v>
      </c>
    </row>
    <row r="143" spans="1:11" x14ac:dyDescent="0.35">
      <c r="A143" s="2" t="s">
        <v>153</v>
      </c>
      <c r="B143" s="2" t="s">
        <v>154</v>
      </c>
      <c r="C143" s="2" t="s">
        <v>18</v>
      </c>
      <c r="D143" s="2" t="s">
        <v>131</v>
      </c>
      <c r="E143" s="2" t="s">
        <v>15</v>
      </c>
      <c r="F143" s="2">
        <v>57</v>
      </c>
      <c r="G143" s="2">
        <v>68</v>
      </c>
      <c r="H143" s="2">
        <v>62</v>
      </c>
      <c r="I143" s="2">
        <v>62</v>
      </c>
      <c r="J143" s="2">
        <v>68</v>
      </c>
      <c r="K143" s="2">
        <v>69</v>
      </c>
    </row>
    <row r="144" spans="1:11" x14ac:dyDescent="0.35">
      <c r="A144" s="2" t="s">
        <v>153</v>
      </c>
      <c r="B144" s="2" t="s">
        <v>155</v>
      </c>
      <c r="C144" s="2" t="s">
        <v>18</v>
      </c>
      <c r="D144" s="2" t="s">
        <v>131</v>
      </c>
      <c r="E144" s="2" t="s">
        <v>17</v>
      </c>
      <c r="F144" s="2">
        <v>65</v>
      </c>
      <c r="G144" s="2">
        <v>60</v>
      </c>
      <c r="H144" s="2">
        <v>65</v>
      </c>
      <c r="I144" s="2">
        <v>69</v>
      </c>
      <c r="J144" s="2">
        <v>74</v>
      </c>
      <c r="K144" s="2">
        <v>70</v>
      </c>
    </row>
    <row r="145" spans="1:11" x14ac:dyDescent="0.35">
      <c r="A145" s="2" t="s">
        <v>153</v>
      </c>
      <c r="B145" s="2" t="s">
        <v>156</v>
      </c>
      <c r="C145" s="2" t="s">
        <v>18</v>
      </c>
      <c r="D145" s="2" t="s">
        <v>131</v>
      </c>
      <c r="E145" s="2" t="s">
        <v>20</v>
      </c>
      <c r="F145" s="2">
        <v>62</v>
      </c>
      <c r="G145" s="2">
        <v>66</v>
      </c>
      <c r="H145" s="2">
        <v>65</v>
      </c>
      <c r="I145" s="2">
        <v>70</v>
      </c>
      <c r="J145" s="2">
        <v>68</v>
      </c>
      <c r="K145" s="2">
        <v>92</v>
      </c>
    </row>
    <row r="146" spans="1:11" x14ac:dyDescent="0.35">
      <c r="A146" s="2" t="s">
        <v>157</v>
      </c>
      <c r="B146" s="2" t="s">
        <v>158</v>
      </c>
      <c r="C146" s="2" t="s">
        <v>18</v>
      </c>
      <c r="D146" s="2" t="s">
        <v>131</v>
      </c>
      <c r="E146" s="2" t="s">
        <v>15</v>
      </c>
      <c r="F146" s="2">
        <v>41</v>
      </c>
      <c r="G146" s="2">
        <v>45</v>
      </c>
      <c r="H146" s="2">
        <v>45</v>
      </c>
      <c r="I146" s="2">
        <v>51</v>
      </c>
      <c r="J146" s="2">
        <v>57</v>
      </c>
      <c r="K146" s="2">
        <v>69</v>
      </c>
    </row>
    <row r="147" spans="1:11" x14ac:dyDescent="0.35">
      <c r="A147" s="2" t="s">
        <v>157</v>
      </c>
      <c r="B147" s="2" t="s">
        <v>159</v>
      </c>
      <c r="C147" s="2" t="s">
        <v>18</v>
      </c>
      <c r="D147" s="2" t="s">
        <v>131</v>
      </c>
      <c r="E147" s="2" t="s">
        <v>17</v>
      </c>
      <c r="F147" s="2">
        <v>61</v>
      </c>
      <c r="G147" s="2">
        <v>57</v>
      </c>
      <c r="H147" s="2">
        <v>36</v>
      </c>
      <c r="I147" s="2">
        <v>61</v>
      </c>
      <c r="J147" s="2">
        <v>50</v>
      </c>
      <c r="K147" s="2">
        <v>58</v>
      </c>
    </row>
    <row r="148" spans="1:11" x14ac:dyDescent="0.35">
      <c r="A148" s="2" t="s">
        <v>157</v>
      </c>
      <c r="B148" s="2" t="s">
        <v>159</v>
      </c>
      <c r="C148" s="2" t="s">
        <v>18</v>
      </c>
      <c r="D148" s="2" t="s">
        <v>131</v>
      </c>
      <c r="E148" s="2" t="s">
        <v>20</v>
      </c>
      <c r="F148" s="2">
        <v>43</v>
      </c>
      <c r="G148" s="2">
        <v>60</v>
      </c>
      <c r="H148" s="2">
        <v>51</v>
      </c>
      <c r="I148" s="2">
        <v>66</v>
      </c>
      <c r="J148" s="2">
        <v>65</v>
      </c>
      <c r="K148" s="2">
        <v>61</v>
      </c>
    </row>
    <row r="149" spans="1:11" x14ac:dyDescent="0.35">
      <c r="A149" s="2" t="s">
        <v>160</v>
      </c>
      <c r="B149" s="2" t="s">
        <v>161</v>
      </c>
      <c r="C149" s="2" t="s">
        <v>23</v>
      </c>
      <c r="D149" s="2" t="s">
        <v>131</v>
      </c>
      <c r="E149" s="2" t="s">
        <v>15</v>
      </c>
      <c r="F149" s="2">
        <v>44</v>
      </c>
      <c r="G149" s="2">
        <v>56</v>
      </c>
      <c r="H149" s="2">
        <v>45</v>
      </c>
      <c r="I149" s="2">
        <v>59</v>
      </c>
      <c r="J149" s="2">
        <v>53</v>
      </c>
      <c r="K149" s="2">
        <v>57</v>
      </c>
    </row>
    <row r="150" spans="1:11" x14ac:dyDescent="0.35">
      <c r="A150" s="2" t="s">
        <v>160</v>
      </c>
      <c r="B150" s="2" t="s">
        <v>161</v>
      </c>
      <c r="C150" s="2" t="s">
        <v>23</v>
      </c>
      <c r="D150" s="2" t="s">
        <v>131</v>
      </c>
      <c r="E150" s="2" t="s">
        <v>17</v>
      </c>
      <c r="F150" s="2">
        <v>54</v>
      </c>
      <c r="G150" s="2">
        <v>63</v>
      </c>
      <c r="H150" s="2">
        <v>56</v>
      </c>
      <c r="I150" s="2">
        <v>57</v>
      </c>
      <c r="J150" s="2">
        <v>63</v>
      </c>
      <c r="K150" s="2">
        <v>49</v>
      </c>
    </row>
    <row r="151" spans="1:11" x14ac:dyDescent="0.35">
      <c r="A151" s="2" t="s">
        <v>160</v>
      </c>
      <c r="B151" s="2" t="s">
        <v>161</v>
      </c>
      <c r="C151" s="2" t="s">
        <v>23</v>
      </c>
      <c r="D151" s="2" t="s">
        <v>131</v>
      </c>
      <c r="E151" s="2" t="s">
        <v>20</v>
      </c>
      <c r="F151" s="2">
        <v>64</v>
      </c>
      <c r="G151" s="2">
        <v>49</v>
      </c>
      <c r="H151" s="2">
        <v>63</v>
      </c>
      <c r="I151" s="2">
        <v>57</v>
      </c>
      <c r="J151" s="2">
        <v>66</v>
      </c>
      <c r="K151" s="2">
        <v>64</v>
      </c>
    </row>
    <row r="152" spans="1:11" x14ac:dyDescent="0.35">
      <c r="A152" s="2" t="s">
        <v>162</v>
      </c>
      <c r="B152" s="2" t="s">
        <v>163</v>
      </c>
      <c r="C152" s="2" t="s">
        <v>18</v>
      </c>
      <c r="D152" s="2" t="s">
        <v>131</v>
      </c>
      <c r="E152" s="2" t="s">
        <v>15</v>
      </c>
      <c r="F152" s="2">
        <v>48</v>
      </c>
      <c r="G152" s="2">
        <v>46</v>
      </c>
      <c r="H152" s="2">
        <v>35</v>
      </c>
      <c r="I152" s="2">
        <v>57</v>
      </c>
      <c r="J152" s="2">
        <v>51</v>
      </c>
      <c r="K152" s="2">
        <v>53</v>
      </c>
    </row>
    <row r="153" spans="1:11" x14ac:dyDescent="0.35">
      <c r="A153" s="2" t="s">
        <v>162</v>
      </c>
      <c r="B153" s="2" t="s">
        <v>163</v>
      </c>
      <c r="C153" s="2" t="s">
        <v>18</v>
      </c>
      <c r="D153" s="2" t="s">
        <v>164</v>
      </c>
      <c r="E153" s="2" t="s">
        <v>17</v>
      </c>
      <c r="F153" s="2">
        <v>47</v>
      </c>
      <c r="G153" s="2">
        <v>72</v>
      </c>
      <c r="H153" s="2">
        <v>52</v>
      </c>
      <c r="I153" s="2">
        <v>63</v>
      </c>
      <c r="J153" s="2">
        <v>54</v>
      </c>
      <c r="K153" s="2">
        <v>75</v>
      </c>
    </row>
    <row r="154" spans="1:11" x14ac:dyDescent="0.35">
      <c r="A154" s="2" t="s">
        <v>162</v>
      </c>
      <c r="B154" s="2" t="s">
        <v>163</v>
      </c>
      <c r="C154" s="2" t="s">
        <v>18</v>
      </c>
      <c r="D154" s="2" t="s">
        <v>164</v>
      </c>
      <c r="E154" s="2" t="s">
        <v>20</v>
      </c>
      <c r="F154" s="2">
        <v>54</v>
      </c>
      <c r="G154" s="2">
        <v>46</v>
      </c>
      <c r="H154" s="2">
        <v>81</v>
      </c>
      <c r="I154" s="2">
        <v>60</v>
      </c>
      <c r="J154" s="2">
        <v>77</v>
      </c>
      <c r="K154" s="2">
        <v>75</v>
      </c>
    </row>
    <row r="155" spans="1:11" x14ac:dyDescent="0.35">
      <c r="A155" s="2" t="s">
        <v>165</v>
      </c>
      <c r="B155" s="2" t="s">
        <v>166</v>
      </c>
      <c r="C155" s="2" t="s">
        <v>23</v>
      </c>
      <c r="D155" s="2" t="s">
        <v>164</v>
      </c>
      <c r="E155" s="2" t="s">
        <v>15</v>
      </c>
      <c r="F155" s="2">
        <v>60</v>
      </c>
      <c r="G155" s="2">
        <v>60</v>
      </c>
      <c r="H155" s="2">
        <v>61</v>
      </c>
      <c r="I155" s="2">
        <v>73</v>
      </c>
      <c r="J155" s="2">
        <v>64</v>
      </c>
      <c r="K155" s="2">
        <v>70</v>
      </c>
    </row>
    <row r="156" spans="1:11" x14ac:dyDescent="0.35">
      <c r="A156" s="2" t="s">
        <v>165</v>
      </c>
      <c r="B156" s="2" t="s">
        <v>167</v>
      </c>
      <c r="C156" s="2" t="s">
        <v>23</v>
      </c>
      <c r="D156" s="2" t="s">
        <v>131</v>
      </c>
      <c r="E156" s="2" t="s">
        <v>17</v>
      </c>
      <c r="F156" s="2">
        <v>66</v>
      </c>
      <c r="G156" s="2">
        <v>67</v>
      </c>
      <c r="H156" s="2">
        <v>61</v>
      </c>
      <c r="I156" s="2">
        <v>79</v>
      </c>
      <c r="J156" s="2">
        <v>72</v>
      </c>
      <c r="K156" s="2">
        <v>71</v>
      </c>
    </row>
    <row r="157" spans="1:11" x14ac:dyDescent="0.35">
      <c r="A157" s="2" t="s">
        <v>165</v>
      </c>
      <c r="B157" s="2" t="s">
        <v>167</v>
      </c>
      <c r="C157" s="2" t="s">
        <v>23</v>
      </c>
      <c r="D157" s="2" t="s">
        <v>131</v>
      </c>
      <c r="E157" s="2" t="s">
        <v>20</v>
      </c>
      <c r="F157" s="2">
        <v>59</v>
      </c>
      <c r="G157" s="2">
        <v>63</v>
      </c>
      <c r="H157" s="2">
        <v>74</v>
      </c>
      <c r="I157" s="2">
        <v>80</v>
      </c>
      <c r="J157" s="2">
        <v>59</v>
      </c>
      <c r="K157" s="2">
        <v>72</v>
      </c>
    </row>
    <row r="158" spans="1:11" x14ac:dyDescent="0.35">
      <c r="A158" s="2" t="s">
        <v>168</v>
      </c>
      <c r="B158" s="2" t="s">
        <v>169</v>
      </c>
      <c r="C158" s="2" t="s">
        <v>37</v>
      </c>
      <c r="D158" s="2" t="s">
        <v>131</v>
      </c>
      <c r="E158" s="2" t="s">
        <v>15</v>
      </c>
      <c r="F158" s="2">
        <v>45</v>
      </c>
      <c r="G158" s="2">
        <v>61</v>
      </c>
      <c r="H158" s="2">
        <v>57</v>
      </c>
      <c r="I158" s="2">
        <v>53</v>
      </c>
      <c r="J158" s="2">
        <v>57</v>
      </c>
      <c r="K158" s="2">
        <v>46</v>
      </c>
    </row>
    <row r="159" spans="1:11" x14ac:dyDescent="0.35">
      <c r="A159" s="2" t="s">
        <v>168</v>
      </c>
      <c r="B159" s="2" t="s">
        <v>169</v>
      </c>
      <c r="C159" s="2" t="s">
        <v>18</v>
      </c>
      <c r="D159" s="2" t="s">
        <v>131</v>
      </c>
      <c r="E159" s="2" t="s">
        <v>17</v>
      </c>
      <c r="F159" s="2">
        <v>46</v>
      </c>
      <c r="G159" s="2">
        <v>38</v>
      </c>
      <c r="H159" s="2">
        <v>41</v>
      </c>
      <c r="I159" s="2">
        <v>52</v>
      </c>
      <c r="J159" s="2">
        <v>66</v>
      </c>
      <c r="K159" s="2">
        <v>58</v>
      </c>
    </row>
    <row r="160" spans="1:11" x14ac:dyDescent="0.35">
      <c r="A160" s="2" t="s">
        <v>168</v>
      </c>
      <c r="B160" s="2" t="s">
        <v>169</v>
      </c>
      <c r="C160" s="2" t="s">
        <v>18</v>
      </c>
      <c r="D160" s="2" t="s">
        <v>131</v>
      </c>
      <c r="E160" s="2" t="s">
        <v>20</v>
      </c>
      <c r="F160" s="2">
        <v>45</v>
      </c>
      <c r="G160" s="2">
        <v>48</v>
      </c>
      <c r="H160" s="2">
        <v>38</v>
      </c>
      <c r="I160" s="2">
        <v>56</v>
      </c>
      <c r="J160" s="2">
        <v>51</v>
      </c>
      <c r="K160" s="2">
        <v>57</v>
      </c>
    </row>
    <row r="161" spans="1:11" x14ac:dyDescent="0.35">
      <c r="A161" s="2" t="s">
        <v>170</v>
      </c>
      <c r="B161" s="2" t="s">
        <v>171</v>
      </c>
      <c r="C161" s="2" t="s">
        <v>33</v>
      </c>
      <c r="D161" s="2" t="s">
        <v>148</v>
      </c>
      <c r="E161" s="2" t="s">
        <v>15</v>
      </c>
      <c r="F161" s="2">
        <v>54</v>
      </c>
      <c r="G161" s="2">
        <v>67</v>
      </c>
      <c r="H161" s="2">
        <v>53</v>
      </c>
      <c r="I161" s="2">
        <v>72</v>
      </c>
      <c r="J161" s="2">
        <v>79</v>
      </c>
      <c r="K161" s="2">
        <v>78</v>
      </c>
    </row>
    <row r="162" spans="1:11" x14ac:dyDescent="0.35">
      <c r="A162" s="2" t="s">
        <v>170</v>
      </c>
      <c r="B162" s="2" t="s">
        <v>171</v>
      </c>
      <c r="C162" s="2" t="s">
        <v>23</v>
      </c>
      <c r="D162" s="2" t="s">
        <v>131</v>
      </c>
      <c r="E162" s="2" t="s">
        <v>17</v>
      </c>
      <c r="F162" s="2">
        <v>73</v>
      </c>
      <c r="G162" s="2">
        <v>67</v>
      </c>
      <c r="H162" s="2">
        <v>66</v>
      </c>
      <c r="I162" s="2">
        <v>71</v>
      </c>
      <c r="J162" s="2">
        <v>62</v>
      </c>
      <c r="K162" s="2">
        <v>86</v>
      </c>
    </row>
    <row r="163" spans="1:11" x14ac:dyDescent="0.35">
      <c r="A163" s="2" t="s">
        <v>170</v>
      </c>
      <c r="B163" s="2" t="s">
        <v>171</v>
      </c>
      <c r="C163" s="2" t="s">
        <v>30</v>
      </c>
      <c r="D163" s="2" t="s">
        <v>131</v>
      </c>
      <c r="E163" s="2" t="s">
        <v>20</v>
      </c>
      <c r="F163" s="2">
        <v>64</v>
      </c>
      <c r="G163" s="2">
        <v>62</v>
      </c>
      <c r="H163" s="2">
        <v>55</v>
      </c>
      <c r="I163" s="2">
        <v>70</v>
      </c>
      <c r="J163" s="2">
        <v>73</v>
      </c>
      <c r="K163" s="2">
        <v>70</v>
      </c>
    </row>
    <row r="164" spans="1:11" x14ac:dyDescent="0.35">
      <c r="A164" s="2" t="s">
        <v>172</v>
      </c>
      <c r="B164" s="2" t="s">
        <v>173</v>
      </c>
      <c r="C164" s="2" t="s">
        <v>23</v>
      </c>
      <c r="D164" s="2" t="s">
        <v>131</v>
      </c>
      <c r="E164" s="2" t="s">
        <v>15</v>
      </c>
      <c r="F164" s="2">
        <v>49</v>
      </c>
      <c r="G164" s="2">
        <v>52</v>
      </c>
      <c r="H164" s="2" t="s">
        <v>174</v>
      </c>
      <c r="I164" s="2">
        <v>66</v>
      </c>
      <c r="J164" s="2">
        <v>68</v>
      </c>
      <c r="K164" s="2">
        <v>49</v>
      </c>
    </row>
    <row r="165" spans="1:11" x14ac:dyDescent="0.35">
      <c r="A165" s="2" t="s">
        <v>172</v>
      </c>
      <c r="B165" s="2" t="s">
        <v>173</v>
      </c>
      <c r="C165" s="2" t="s">
        <v>30</v>
      </c>
      <c r="D165" s="2" t="s">
        <v>131</v>
      </c>
      <c r="E165" s="2" t="s">
        <v>17</v>
      </c>
      <c r="F165" s="2">
        <v>51</v>
      </c>
      <c r="G165" s="2">
        <v>47</v>
      </c>
      <c r="H165" s="2" t="s">
        <v>175</v>
      </c>
      <c r="I165" s="2">
        <v>63</v>
      </c>
      <c r="J165" s="2">
        <v>54</v>
      </c>
      <c r="K165" s="2">
        <v>40</v>
      </c>
    </row>
    <row r="166" spans="1:11" x14ac:dyDescent="0.35">
      <c r="A166" s="2" t="s">
        <v>172</v>
      </c>
      <c r="B166" s="2" t="s">
        <v>173</v>
      </c>
      <c r="C166" s="2" t="s">
        <v>23</v>
      </c>
      <c r="D166" s="2" t="s">
        <v>131</v>
      </c>
      <c r="E166" s="2" t="s">
        <v>20</v>
      </c>
      <c r="F166" s="2">
        <v>57</v>
      </c>
      <c r="G166" s="2">
        <v>67</v>
      </c>
      <c r="H166" s="2">
        <v>70</v>
      </c>
      <c r="I166" s="2">
        <v>58</v>
      </c>
      <c r="J166" s="2">
        <v>72</v>
      </c>
      <c r="K166" s="2">
        <v>46</v>
      </c>
    </row>
    <row r="167" spans="1:11" x14ac:dyDescent="0.35">
      <c r="A167" s="2" t="s">
        <v>176</v>
      </c>
      <c r="B167" s="2" t="s">
        <v>177</v>
      </c>
      <c r="C167" s="2" t="s">
        <v>23</v>
      </c>
      <c r="D167" s="2" t="s">
        <v>131</v>
      </c>
      <c r="E167" s="2" t="s">
        <v>15</v>
      </c>
      <c r="F167" s="2">
        <v>27</v>
      </c>
      <c r="G167" s="2">
        <v>44</v>
      </c>
      <c r="H167" s="2">
        <v>42</v>
      </c>
      <c r="I167" s="2">
        <v>53</v>
      </c>
      <c r="J167" s="2">
        <v>51</v>
      </c>
      <c r="K167" s="2">
        <v>46</v>
      </c>
    </row>
    <row r="168" spans="1:11" x14ac:dyDescent="0.35">
      <c r="A168" s="2" t="s">
        <v>176</v>
      </c>
      <c r="B168" s="2" t="s">
        <v>178</v>
      </c>
      <c r="C168" s="2" t="s">
        <v>23</v>
      </c>
      <c r="D168" s="2" t="s">
        <v>145</v>
      </c>
      <c r="E168" s="2" t="s">
        <v>17</v>
      </c>
      <c r="F168" s="2">
        <v>48</v>
      </c>
      <c r="G168" s="2">
        <v>48</v>
      </c>
      <c r="H168" s="2">
        <v>54</v>
      </c>
      <c r="I168" s="2">
        <v>41</v>
      </c>
      <c r="J168" s="2">
        <v>50</v>
      </c>
      <c r="K168" s="2">
        <v>47</v>
      </c>
    </row>
    <row r="169" spans="1:11" x14ac:dyDescent="0.35">
      <c r="A169" s="2" t="s">
        <v>176</v>
      </c>
      <c r="B169" s="2" t="s">
        <v>177</v>
      </c>
      <c r="C169" s="2" t="s">
        <v>30</v>
      </c>
      <c r="D169" s="2" t="s">
        <v>131</v>
      </c>
      <c r="E169" s="2" t="s">
        <v>20</v>
      </c>
      <c r="F169" s="2">
        <v>46</v>
      </c>
      <c r="G169" s="2">
        <v>45</v>
      </c>
      <c r="H169" s="2">
        <v>43</v>
      </c>
      <c r="I169" s="2">
        <v>40</v>
      </c>
      <c r="J169" s="2">
        <v>53</v>
      </c>
      <c r="K169" s="2">
        <v>61</v>
      </c>
    </row>
    <row r="170" spans="1:11" x14ac:dyDescent="0.35">
      <c r="A170" s="2" t="s">
        <v>179</v>
      </c>
      <c r="B170" s="2" t="s">
        <v>180</v>
      </c>
      <c r="C170" s="2" t="s">
        <v>18</v>
      </c>
      <c r="D170" s="2" t="s">
        <v>131</v>
      </c>
      <c r="E170" s="2" t="s">
        <v>15</v>
      </c>
      <c r="F170" s="2">
        <v>68</v>
      </c>
      <c r="G170" s="2">
        <v>46</v>
      </c>
      <c r="H170" s="2">
        <v>54</v>
      </c>
      <c r="I170" s="2">
        <v>84</v>
      </c>
      <c r="J170" s="2">
        <v>70</v>
      </c>
      <c r="K170" s="2">
        <v>72</v>
      </c>
    </row>
    <row r="171" spans="1:11" x14ac:dyDescent="0.35">
      <c r="A171" s="2" t="s">
        <v>179</v>
      </c>
      <c r="B171" s="2" t="s">
        <v>180</v>
      </c>
      <c r="C171" s="2" t="s">
        <v>18</v>
      </c>
      <c r="D171" s="2" t="s">
        <v>131</v>
      </c>
      <c r="E171" s="2" t="s">
        <v>17</v>
      </c>
      <c r="F171" s="2">
        <v>68</v>
      </c>
      <c r="G171" s="2">
        <v>68</v>
      </c>
      <c r="H171" s="2">
        <v>60</v>
      </c>
      <c r="I171" s="2">
        <v>68</v>
      </c>
      <c r="J171" s="2">
        <v>83</v>
      </c>
      <c r="K171" s="2">
        <v>62</v>
      </c>
    </row>
    <row r="172" spans="1:11" x14ac:dyDescent="0.35">
      <c r="A172" s="2" t="s">
        <v>179</v>
      </c>
      <c r="B172" s="2" t="s">
        <v>180</v>
      </c>
      <c r="C172" s="2" t="s">
        <v>18</v>
      </c>
      <c r="D172" s="2" t="s">
        <v>131</v>
      </c>
      <c r="E172" s="2" t="s">
        <v>20</v>
      </c>
      <c r="F172" s="2">
        <v>68</v>
      </c>
      <c r="G172" s="2">
        <v>63</v>
      </c>
      <c r="H172" s="2">
        <v>61</v>
      </c>
      <c r="I172" s="2">
        <v>81</v>
      </c>
      <c r="J172" s="2">
        <v>65</v>
      </c>
      <c r="K172" s="2">
        <v>77</v>
      </c>
    </row>
    <row r="173" spans="1:11" x14ac:dyDescent="0.35">
      <c r="A173" s="2" t="s">
        <v>181</v>
      </c>
      <c r="B173" s="2" t="s">
        <v>182</v>
      </c>
      <c r="C173" s="2" t="s">
        <v>23</v>
      </c>
      <c r="D173" s="2" t="s">
        <v>131</v>
      </c>
      <c r="E173" s="2" t="s">
        <v>15</v>
      </c>
      <c r="F173" s="2">
        <v>53</v>
      </c>
      <c r="G173" s="2">
        <v>51</v>
      </c>
      <c r="H173" s="2">
        <v>58</v>
      </c>
      <c r="I173" s="2">
        <v>72</v>
      </c>
      <c r="J173" s="2">
        <v>64</v>
      </c>
      <c r="K173" s="2">
        <v>71</v>
      </c>
    </row>
    <row r="174" spans="1:11" x14ac:dyDescent="0.35">
      <c r="A174" s="2" t="s">
        <v>181</v>
      </c>
      <c r="B174" s="2" t="s">
        <v>182</v>
      </c>
      <c r="C174" s="2" t="s">
        <v>23</v>
      </c>
      <c r="D174" s="2" t="s">
        <v>131</v>
      </c>
      <c r="E174" s="2" t="s">
        <v>17</v>
      </c>
      <c r="F174" s="2">
        <v>54</v>
      </c>
      <c r="G174" s="2">
        <v>59</v>
      </c>
      <c r="H174" s="2">
        <v>54</v>
      </c>
      <c r="I174" s="2">
        <v>63</v>
      </c>
      <c r="J174" s="2">
        <v>48</v>
      </c>
      <c r="K174" s="2">
        <v>61</v>
      </c>
    </row>
    <row r="175" spans="1:11" x14ac:dyDescent="0.35">
      <c r="A175" s="2" t="s">
        <v>181</v>
      </c>
      <c r="B175" s="2" t="s">
        <v>182</v>
      </c>
      <c r="C175" s="2" t="s">
        <v>23</v>
      </c>
      <c r="D175" s="2" t="s">
        <v>131</v>
      </c>
      <c r="E175" s="2" t="s">
        <v>20</v>
      </c>
      <c r="F175" s="2">
        <v>37</v>
      </c>
      <c r="G175" s="2">
        <v>58</v>
      </c>
      <c r="H175" s="2">
        <v>57</v>
      </c>
      <c r="I175" s="2">
        <v>53</v>
      </c>
      <c r="J175" s="2">
        <v>66</v>
      </c>
      <c r="K175" s="2">
        <v>65</v>
      </c>
    </row>
    <row r="176" spans="1:11" x14ac:dyDescent="0.35">
      <c r="A176" s="2" t="s">
        <v>183</v>
      </c>
      <c r="B176" s="2" t="s">
        <v>184</v>
      </c>
      <c r="C176" s="2" t="s">
        <v>13</v>
      </c>
      <c r="D176" s="2" t="s">
        <v>145</v>
      </c>
      <c r="E176" s="2" t="s">
        <v>15</v>
      </c>
      <c r="F176" s="2">
        <v>53</v>
      </c>
      <c r="G176" s="2">
        <v>54</v>
      </c>
      <c r="H176" s="2">
        <v>58</v>
      </c>
      <c r="I176" s="2">
        <v>67</v>
      </c>
      <c r="J176" s="2">
        <v>56</v>
      </c>
      <c r="K176" s="2">
        <v>57</v>
      </c>
    </row>
    <row r="177" spans="1:11" x14ac:dyDescent="0.35">
      <c r="A177" s="2" t="s">
        <v>183</v>
      </c>
      <c r="B177" s="2" t="s">
        <v>184</v>
      </c>
      <c r="C177" s="2" t="s">
        <v>18</v>
      </c>
      <c r="D177" s="2" t="s">
        <v>131</v>
      </c>
      <c r="E177" s="2" t="s">
        <v>17</v>
      </c>
      <c r="F177" s="2">
        <v>55</v>
      </c>
      <c r="G177" s="2">
        <v>37</v>
      </c>
      <c r="H177" s="2">
        <v>33</v>
      </c>
      <c r="I177" s="2">
        <v>43</v>
      </c>
      <c r="J177" s="2">
        <v>58</v>
      </c>
      <c r="K177" s="2">
        <v>60</v>
      </c>
    </row>
    <row r="178" spans="1:11" x14ac:dyDescent="0.35">
      <c r="A178" s="2" t="s">
        <v>183</v>
      </c>
      <c r="B178" s="2" t="s">
        <v>184</v>
      </c>
      <c r="C178" s="2" t="s">
        <v>13</v>
      </c>
      <c r="D178" s="2" t="s">
        <v>131</v>
      </c>
      <c r="E178" s="2" t="s">
        <v>20</v>
      </c>
      <c r="F178" s="2">
        <v>47</v>
      </c>
      <c r="G178" s="2">
        <v>50</v>
      </c>
      <c r="H178" s="2">
        <v>58</v>
      </c>
      <c r="I178" s="2">
        <v>63</v>
      </c>
      <c r="J178" s="2">
        <v>61</v>
      </c>
      <c r="K178" s="2">
        <v>47</v>
      </c>
    </row>
    <row r="179" spans="1:11" x14ac:dyDescent="0.35">
      <c r="A179" s="2" t="s">
        <v>185</v>
      </c>
      <c r="B179" s="2" t="s">
        <v>186</v>
      </c>
      <c r="C179" s="2" t="s">
        <v>18</v>
      </c>
      <c r="D179" s="2" t="s">
        <v>131</v>
      </c>
      <c r="E179" s="2" t="s">
        <v>15</v>
      </c>
      <c r="F179" s="2">
        <v>67</v>
      </c>
      <c r="G179" s="2">
        <v>64</v>
      </c>
      <c r="H179" s="2">
        <v>65</v>
      </c>
      <c r="I179" s="2">
        <v>66</v>
      </c>
      <c r="J179" s="2">
        <v>75</v>
      </c>
      <c r="K179" s="2">
        <v>80</v>
      </c>
    </row>
    <row r="180" spans="1:11" x14ac:dyDescent="0.35">
      <c r="A180" s="2" t="s">
        <v>185</v>
      </c>
      <c r="B180" s="2" t="s">
        <v>186</v>
      </c>
      <c r="C180" s="2" t="s">
        <v>13</v>
      </c>
      <c r="D180" s="2" t="s">
        <v>131</v>
      </c>
      <c r="E180" s="2" t="s">
        <v>17</v>
      </c>
      <c r="F180" s="2">
        <v>68</v>
      </c>
      <c r="G180" s="2">
        <v>66</v>
      </c>
      <c r="H180" s="2">
        <v>61</v>
      </c>
      <c r="I180" s="2">
        <v>72</v>
      </c>
      <c r="J180" s="2">
        <v>72</v>
      </c>
      <c r="K180" s="2">
        <v>85</v>
      </c>
    </row>
    <row r="181" spans="1:11" x14ac:dyDescent="0.35">
      <c r="A181" s="2" t="s">
        <v>185</v>
      </c>
      <c r="B181" s="2" t="s">
        <v>187</v>
      </c>
      <c r="C181" s="2" t="s">
        <v>37</v>
      </c>
      <c r="D181" s="2" t="s">
        <v>131</v>
      </c>
      <c r="E181" s="2" t="s">
        <v>20</v>
      </c>
      <c r="F181" s="2">
        <v>69</v>
      </c>
      <c r="G181" s="2">
        <v>76</v>
      </c>
      <c r="H181" s="2">
        <v>74</v>
      </c>
      <c r="I181" s="2">
        <v>88</v>
      </c>
      <c r="J181" s="2">
        <v>93</v>
      </c>
      <c r="K181" s="2">
        <v>86</v>
      </c>
    </row>
    <row r="182" spans="1:11" x14ac:dyDescent="0.35">
      <c r="A182" s="2" t="s">
        <v>188</v>
      </c>
      <c r="B182" s="2" t="s">
        <v>189</v>
      </c>
      <c r="C182" s="2" t="s">
        <v>18</v>
      </c>
      <c r="D182" s="2" t="s">
        <v>131</v>
      </c>
      <c r="E182" s="2" t="s">
        <v>15</v>
      </c>
      <c r="F182" s="2">
        <v>49</v>
      </c>
      <c r="G182" s="2">
        <v>67</v>
      </c>
      <c r="H182" s="2">
        <v>580</v>
      </c>
      <c r="I182" s="2">
        <v>57</v>
      </c>
      <c r="J182" s="2">
        <v>68</v>
      </c>
      <c r="K182" s="2">
        <v>64</v>
      </c>
    </row>
    <row r="183" spans="1:11" x14ac:dyDescent="0.35">
      <c r="A183" s="2" t="s">
        <v>188</v>
      </c>
      <c r="B183" s="2" t="s">
        <v>189</v>
      </c>
      <c r="C183" s="2" t="s">
        <v>18</v>
      </c>
      <c r="D183" s="2" t="s">
        <v>131</v>
      </c>
      <c r="E183" s="2" t="s">
        <v>17</v>
      </c>
      <c r="F183" s="2">
        <v>40</v>
      </c>
      <c r="G183" s="2">
        <v>60</v>
      </c>
      <c r="H183" s="2">
        <v>56</v>
      </c>
      <c r="I183" s="2">
        <v>46</v>
      </c>
      <c r="J183" s="2">
        <v>45</v>
      </c>
      <c r="K183" s="2">
        <v>63</v>
      </c>
    </row>
    <row r="184" spans="1:11" x14ac:dyDescent="0.35">
      <c r="A184" s="2" t="s">
        <v>188</v>
      </c>
      <c r="B184" s="2" t="s">
        <v>189</v>
      </c>
      <c r="C184" s="2" t="s">
        <v>18</v>
      </c>
      <c r="D184" s="2" t="s">
        <v>131</v>
      </c>
      <c r="E184" s="2" t="s">
        <v>20</v>
      </c>
      <c r="F184" s="2">
        <v>54</v>
      </c>
      <c r="G184" s="2">
        <v>60</v>
      </c>
      <c r="H184" s="2">
        <v>44</v>
      </c>
      <c r="I184" s="2">
        <v>56</v>
      </c>
      <c r="J184" s="2">
        <v>64</v>
      </c>
      <c r="K184" s="2">
        <v>51</v>
      </c>
    </row>
    <row r="185" spans="1:11" x14ac:dyDescent="0.35">
      <c r="A185" s="2" t="s">
        <v>190</v>
      </c>
      <c r="B185" s="2" t="s">
        <v>191</v>
      </c>
      <c r="C185" s="2" t="s">
        <v>18</v>
      </c>
      <c r="D185" s="2" t="s">
        <v>131</v>
      </c>
      <c r="E185" s="2" t="s">
        <v>15</v>
      </c>
      <c r="F185" s="2">
        <v>67</v>
      </c>
      <c r="G185" s="2">
        <v>74</v>
      </c>
      <c r="H185" s="2">
        <v>77</v>
      </c>
      <c r="I185" s="2">
        <v>58</v>
      </c>
      <c r="J185" s="2">
        <v>77</v>
      </c>
      <c r="K185" s="2">
        <v>92</v>
      </c>
    </row>
    <row r="186" spans="1:11" x14ac:dyDescent="0.35">
      <c r="A186" s="2" t="s">
        <v>190</v>
      </c>
      <c r="B186" s="2" t="s">
        <v>191</v>
      </c>
      <c r="C186" s="2" t="s">
        <v>37</v>
      </c>
      <c r="D186" s="2" t="s">
        <v>131</v>
      </c>
      <c r="E186" s="2" t="s">
        <v>17</v>
      </c>
      <c r="F186" s="2">
        <v>71</v>
      </c>
      <c r="G186" s="2">
        <v>79</v>
      </c>
      <c r="H186" s="2">
        <v>86</v>
      </c>
      <c r="I186" s="2">
        <v>79</v>
      </c>
      <c r="J186" s="2">
        <v>93</v>
      </c>
      <c r="K186" s="2">
        <v>91</v>
      </c>
    </row>
    <row r="187" spans="1:11" x14ac:dyDescent="0.35">
      <c r="A187" s="2" t="s">
        <v>190</v>
      </c>
      <c r="B187" s="2" t="s">
        <v>191</v>
      </c>
      <c r="C187" s="2" t="s">
        <v>18</v>
      </c>
      <c r="D187" s="2" t="s">
        <v>131</v>
      </c>
      <c r="E187" s="2" t="s">
        <v>20</v>
      </c>
      <c r="F187" s="2">
        <v>73</v>
      </c>
      <c r="G187" s="2">
        <v>91</v>
      </c>
      <c r="H187" s="2">
        <v>78</v>
      </c>
      <c r="I187" s="2">
        <v>98</v>
      </c>
      <c r="J187" s="2">
        <v>82</v>
      </c>
      <c r="K187" s="2">
        <v>83</v>
      </c>
    </row>
    <row r="188" spans="1:11" x14ac:dyDescent="0.35">
      <c r="A188" s="2" t="s">
        <v>192</v>
      </c>
      <c r="B188" s="2" t="s">
        <v>193</v>
      </c>
      <c r="C188" s="2" t="s">
        <v>23</v>
      </c>
      <c r="D188" s="2" t="s">
        <v>131</v>
      </c>
      <c r="E188" s="2" t="s">
        <v>15</v>
      </c>
      <c r="F188" s="2">
        <v>21</v>
      </c>
      <c r="G188" s="2">
        <v>29</v>
      </c>
      <c r="H188" s="2">
        <v>42</v>
      </c>
      <c r="I188" s="2">
        <v>38</v>
      </c>
      <c r="J188" s="2">
        <v>41</v>
      </c>
      <c r="K188" s="2">
        <v>48</v>
      </c>
    </row>
    <row r="189" spans="1:11" x14ac:dyDescent="0.35">
      <c r="A189" s="2" t="s">
        <v>192</v>
      </c>
      <c r="B189" s="2" t="s">
        <v>193</v>
      </c>
      <c r="C189" s="2" t="s">
        <v>23</v>
      </c>
      <c r="D189" s="2" t="s">
        <v>131</v>
      </c>
      <c r="E189" s="2" t="s">
        <v>17</v>
      </c>
      <c r="F189" s="2">
        <v>30</v>
      </c>
      <c r="G189" s="2">
        <v>37</v>
      </c>
      <c r="H189" s="2">
        <v>33</v>
      </c>
      <c r="I189" s="2">
        <v>50</v>
      </c>
      <c r="J189" s="2">
        <v>56</v>
      </c>
      <c r="K189" s="2">
        <v>49</v>
      </c>
    </row>
    <row r="190" spans="1:11" x14ac:dyDescent="0.35">
      <c r="A190" s="2" t="s">
        <v>192</v>
      </c>
      <c r="B190" s="2" t="s">
        <v>194</v>
      </c>
      <c r="C190" s="2" t="s">
        <v>23</v>
      </c>
      <c r="D190" s="2" t="s">
        <v>131</v>
      </c>
      <c r="E190" s="2" t="s">
        <v>20</v>
      </c>
      <c r="F190" s="2">
        <v>37</v>
      </c>
      <c r="G190" s="2">
        <v>44</v>
      </c>
      <c r="H190" s="2">
        <v>38</v>
      </c>
      <c r="I190" s="2">
        <v>55</v>
      </c>
      <c r="J190" s="2">
        <v>44</v>
      </c>
      <c r="K190" s="2">
        <v>52</v>
      </c>
    </row>
    <row r="191" spans="1:11" x14ac:dyDescent="0.35">
      <c r="A191" s="2" t="s">
        <v>195</v>
      </c>
      <c r="B191" s="2" t="s">
        <v>196</v>
      </c>
      <c r="C191" s="2" t="s">
        <v>23</v>
      </c>
      <c r="D191" s="2" t="s">
        <v>131</v>
      </c>
      <c r="E191" s="2" t="s">
        <v>15</v>
      </c>
      <c r="F191" s="2">
        <v>62</v>
      </c>
      <c r="G191" s="2">
        <v>63</v>
      </c>
      <c r="H191" s="2">
        <v>57</v>
      </c>
      <c r="I191" s="2">
        <v>73</v>
      </c>
      <c r="J191" s="2">
        <v>82</v>
      </c>
      <c r="K191" s="2">
        <v>80</v>
      </c>
    </row>
    <row r="192" spans="1:11" x14ac:dyDescent="0.35">
      <c r="A192" s="2" t="s">
        <v>195</v>
      </c>
      <c r="B192" s="2" t="s">
        <v>196</v>
      </c>
      <c r="C192" s="2" t="s">
        <v>30</v>
      </c>
      <c r="D192" s="2" t="s">
        <v>131</v>
      </c>
      <c r="E192" s="2" t="s">
        <v>17</v>
      </c>
      <c r="F192" s="2">
        <v>72</v>
      </c>
      <c r="G192" s="2">
        <v>72</v>
      </c>
      <c r="H192" s="2">
        <v>71</v>
      </c>
      <c r="I192" s="2">
        <v>75</v>
      </c>
      <c r="J192" s="2">
        <v>85</v>
      </c>
      <c r="K192" s="2">
        <v>98</v>
      </c>
    </row>
    <row r="193" spans="1:11" x14ac:dyDescent="0.35">
      <c r="A193" s="2" t="s">
        <v>195</v>
      </c>
      <c r="B193" s="2" t="s">
        <v>197</v>
      </c>
      <c r="C193" s="2" t="s">
        <v>23</v>
      </c>
      <c r="D193" s="2" t="s">
        <v>148</v>
      </c>
      <c r="E193" s="2" t="s">
        <v>20</v>
      </c>
      <c r="F193" s="2">
        <v>76</v>
      </c>
      <c r="G193" s="2">
        <v>73</v>
      </c>
      <c r="H193" s="2">
        <v>90</v>
      </c>
      <c r="I193" s="2">
        <v>79</v>
      </c>
      <c r="J193" s="2">
        <v>91</v>
      </c>
      <c r="K193" s="2">
        <v>86</v>
      </c>
    </row>
    <row r="194" spans="1:11" x14ac:dyDescent="0.35">
      <c r="A194" s="2" t="s">
        <v>198</v>
      </c>
      <c r="B194" s="2" t="s">
        <v>199</v>
      </c>
      <c r="C194" s="2" t="s">
        <v>23</v>
      </c>
      <c r="D194" s="2" t="s">
        <v>131</v>
      </c>
      <c r="E194" s="2" t="s">
        <v>15</v>
      </c>
      <c r="F194" s="2">
        <v>37</v>
      </c>
      <c r="G194" s="2">
        <v>67</v>
      </c>
      <c r="H194" s="2"/>
      <c r="I194" s="2"/>
      <c r="J194" s="2">
        <v>49</v>
      </c>
      <c r="K194" s="2">
        <v>48</v>
      </c>
    </row>
    <row r="195" spans="1:11" x14ac:dyDescent="0.35">
      <c r="A195" s="2" t="s">
        <v>198</v>
      </c>
      <c r="B195" s="2" t="s">
        <v>199</v>
      </c>
      <c r="C195" s="2" t="s">
        <v>23</v>
      </c>
      <c r="D195" s="2" t="s">
        <v>131</v>
      </c>
      <c r="E195" s="2" t="s">
        <v>17</v>
      </c>
      <c r="F195" s="2">
        <v>39</v>
      </c>
      <c r="G195" s="2">
        <v>43</v>
      </c>
      <c r="H195" s="2">
        <v>50</v>
      </c>
      <c r="I195" s="2">
        <v>58</v>
      </c>
      <c r="J195" s="2">
        <v>45</v>
      </c>
      <c r="K195" s="2">
        <v>46</v>
      </c>
    </row>
    <row r="196" spans="1:11" x14ac:dyDescent="0.35">
      <c r="A196" s="2" t="s">
        <v>198</v>
      </c>
      <c r="B196" s="2" t="s">
        <v>199</v>
      </c>
      <c r="C196" s="2" t="s">
        <v>23</v>
      </c>
      <c r="D196" s="2" t="s">
        <v>200</v>
      </c>
      <c r="E196" s="2" t="s">
        <v>20</v>
      </c>
      <c r="F196" s="2">
        <v>59</v>
      </c>
      <c r="G196" s="2">
        <v>43</v>
      </c>
      <c r="H196" s="2">
        <v>56</v>
      </c>
      <c r="I196" s="2">
        <v>59</v>
      </c>
      <c r="J196" s="2">
        <v>49</v>
      </c>
      <c r="K196" s="2">
        <v>64</v>
      </c>
    </row>
    <row r="197" spans="1:11" x14ac:dyDescent="0.35">
      <c r="A197" s="2" t="s">
        <v>201</v>
      </c>
      <c r="B197" s="2" t="s">
        <v>202</v>
      </c>
      <c r="C197" s="2" t="s">
        <v>23</v>
      </c>
      <c r="D197" s="2" t="s">
        <v>131</v>
      </c>
      <c r="E197" s="2" t="s">
        <v>15</v>
      </c>
      <c r="F197" s="2">
        <v>41</v>
      </c>
      <c r="G197" s="2">
        <v>47</v>
      </c>
      <c r="H197" s="2">
        <v>43</v>
      </c>
      <c r="I197" s="2">
        <v>64</v>
      </c>
      <c r="J197" s="2">
        <v>56</v>
      </c>
      <c r="K197" s="2">
        <v>68</v>
      </c>
    </row>
    <row r="198" spans="1:11" x14ac:dyDescent="0.35">
      <c r="A198" s="2" t="s">
        <v>201</v>
      </c>
      <c r="B198" s="2" t="s">
        <v>202</v>
      </c>
      <c r="C198" s="2" t="s">
        <v>25</v>
      </c>
      <c r="D198" s="2" t="s">
        <v>131</v>
      </c>
      <c r="E198" s="2" t="s">
        <v>17</v>
      </c>
      <c r="F198" s="2">
        <v>43</v>
      </c>
      <c r="G198" s="2">
        <v>59</v>
      </c>
      <c r="H198" s="2">
        <v>63</v>
      </c>
      <c r="I198" s="2">
        <v>57</v>
      </c>
      <c r="J198" s="2">
        <v>51</v>
      </c>
      <c r="K198" s="2">
        <v>58</v>
      </c>
    </row>
    <row r="199" spans="1:11" x14ac:dyDescent="0.35">
      <c r="A199" s="2" t="s">
        <v>201</v>
      </c>
      <c r="B199" s="2" t="s">
        <v>202</v>
      </c>
      <c r="C199" s="2" t="s">
        <v>23</v>
      </c>
      <c r="D199" s="2" t="s">
        <v>131</v>
      </c>
      <c r="E199" s="2" t="s">
        <v>20</v>
      </c>
      <c r="F199" s="2">
        <v>57</v>
      </c>
      <c r="G199" s="2">
        <v>60</v>
      </c>
      <c r="H199" s="2">
        <v>50</v>
      </c>
      <c r="I199" s="2">
        <v>45</v>
      </c>
      <c r="J199" s="2">
        <v>64</v>
      </c>
      <c r="K199" s="2">
        <v>72</v>
      </c>
    </row>
    <row r="200" spans="1:11" x14ac:dyDescent="0.35">
      <c r="A200" s="2" t="s">
        <v>203</v>
      </c>
      <c r="B200" s="2" t="s">
        <v>204</v>
      </c>
      <c r="C200" s="2" t="s">
        <v>23</v>
      </c>
      <c r="D200" s="2" t="s">
        <v>131</v>
      </c>
      <c r="E200" s="2" t="s">
        <v>15</v>
      </c>
      <c r="F200" s="2">
        <v>48</v>
      </c>
      <c r="G200" s="2">
        <v>45</v>
      </c>
      <c r="H200" s="2">
        <v>39</v>
      </c>
      <c r="I200" s="2">
        <v>40</v>
      </c>
      <c r="J200" s="2">
        <v>42</v>
      </c>
      <c r="K200" s="2">
        <v>37</v>
      </c>
    </row>
    <row r="201" spans="1:11" x14ac:dyDescent="0.35">
      <c r="A201" s="2" t="s">
        <v>203</v>
      </c>
      <c r="B201" s="2" t="s">
        <v>205</v>
      </c>
      <c r="C201" s="2" t="s">
        <v>23</v>
      </c>
      <c r="D201" s="2" t="s">
        <v>131</v>
      </c>
      <c r="E201" s="2" t="s">
        <v>17</v>
      </c>
      <c r="F201" s="2">
        <v>55</v>
      </c>
      <c r="G201" s="2">
        <v>46</v>
      </c>
      <c r="H201" s="2">
        <v>61</v>
      </c>
      <c r="I201" s="2">
        <v>49</v>
      </c>
      <c r="J201" s="2">
        <v>39</v>
      </c>
      <c r="K201" s="2">
        <v>65</v>
      </c>
    </row>
    <row r="202" spans="1:11" x14ac:dyDescent="0.35">
      <c r="A202" s="2" t="s">
        <v>203</v>
      </c>
      <c r="B202" s="2" t="s">
        <v>204</v>
      </c>
      <c r="C202" s="2" t="s">
        <v>23</v>
      </c>
      <c r="D202" s="2" t="s">
        <v>131</v>
      </c>
      <c r="E202" s="2" t="s">
        <v>20</v>
      </c>
      <c r="F202" s="2">
        <v>38</v>
      </c>
      <c r="G202" s="2" t="s">
        <v>206</v>
      </c>
      <c r="H202" s="2">
        <v>60</v>
      </c>
      <c r="I202" s="2">
        <v>63</v>
      </c>
      <c r="J202" s="2">
        <v>40</v>
      </c>
      <c r="K202" s="2">
        <v>56</v>
      </c>
    </row>
    <row r="203" spans="1:11" x14ac:dyDescent="0.35">
      <c r="A203" s="2" t="s">
        <v>207</v>
      </c>
      <c r="B203" s="2" t="s">
        <v>208</v>
      </c>
      <c r="C203" s="2" t="s">
        <v>18</v>
      </c>
      <c r="D203" s="2" t="s">
        <v>131</v>
      </c>
      <c r="E203" s="2" t="s">
        <v>15</v>
      </c>
      <c r="F203" s="2">
        <v>53</v>
      </c>
      <c r="G203" s="2">
        <v>70</v>
      </c>
      <c r="H203" s="2">
        <v>77</v>
      </c>
      <c r="I203" s="2">
        <v>66</v>
      </c>
      <c r="J203" s="2">
        <v>81</v>
      </c>
      <c r="K203" s="2">
        <v>66</v>
      </c>
    </row>
    <row r="204" spans="1:11" x14ac:dyDescent="0.35">
      <c r="A204" s="2" t="s">
        <v>207</v>
      </c>
      <c r="B204" s="2" t="s">
        <v>208</v>
      </c>
      <c r="C204" s="2" t="s">
        <v>18</v>
      </c>
      <c r="D204" s="2" t="s">
        <v>131</v>
      </c>
      <c r="E204" s="2" t="s">
        <v>17</v>
      </c>
      <c r="F204" s="2">
        <v>76</v>
      </c>
      <c r="G204" s="2">
        <v>61</v>
      </c>
      <c r="H204" s="2">
        <v>61</v>
      </c>
      <c r="I204" s="2">
        <v>71</v>
      </c>
      <c r="J204" s="2">
        <v>61</v>
      </c>
      <c r="K204" s="2">
        <v>83</v>
      </c>
    </row>
    <row r="205" spans="1:11" x14ac:dyDescent="0.35">
      <c r="A205" s="2" t="s">
        <v>207</v>
      </c>
      <c r="B205" s="2" t="s">
        <v>208</v>
      </c>
      <c r="C205" s="2" t="s">
        <v>37</v>
      </c>
      <c r="D205" s="2" t="s">
        <v>148</v>
      </c>
      <c r="E205" s="2" t="s">
        <v>20</v>
      </c>
      <c r="F205" s="2">
        <v>53</v>
      </c>
      <c r="G205" s="2">
        <v>70</v>
      </c>
      <c r="H205" s="2">
        <v>55</v>
      </c>
      <c r="I205" s="2">
        <v>70</v>
      </c>
      <c r="J205" s="2">
        <v>70</v>
      </c>
      <c r="K205" s="2">
        <v>69</v>
      </c>
    </row>
    <row r="206" spans="1:11" x14ac:dyDescent="0.35">
      <c r="A206" s="2" t="s">
        <v>209</v>
      </c>
      <c r="B206" s="2" t="s">
        <v>210</v>
      </c>
      <c r="C206" s="2" t="s">
        <v>33</v>
      </c>
      <c r="D206" s="2" t="s">
        <v>131</v>
      </c>
      <c r="E206" s="2" t="s">
        <v>15</v>
      </c>
      <c r="F206" s="2">
        <v>61</v>
      </c>
      <c r="G206" s="2">
        <v>55</v>
      </c>
      <c r="H206" s="2">
        <v>72</v>
      </c>
      <c r="I206" s="2">
        <v>68</v>
      </c>
      <c r="J206" s="2">
        <v>48</v>
      </c>
      <c r="K206" s="2">
        <v>83</v>
      </c>
    </row>
    <row r="207" spans="1:11" x14ac:dyDescent="0.35">
      <c r="A207" s="2" t="s">
        <v>209</v>
      </c>
      <c r="B207" s="2" t="s">
        <v>210</v>
      </c>
      <c r="C207" s="2" t="s">
        <v>23</v>
      </c>
      <c r="D207" s="2" t="s">
        <v>200</v>
      </c>
      <c r="E207" s="2" t="s">
        <v>17</v>
      </c>
      <c r="F207" s="2">
        <v>58</v>
      </c>
      <c r="G207" s="2">
        <v>72</v>
      </c>
      <c r="H207" s="2">
        <v>58</v>
      </c>
      <c r="I207" s="2">
        <v>48</v>
      </c>
      <c r="J207" s="2">
        <v>62</v>
      </c>
      <c r="K207" s="2">
        <v>59</v>
      </c>
    </row>
    <row r="208" spans="1:11" x14ac:dyDescent="0.35">
      <c r="A208" s="2" t="s">
        <v>209</v>
      </c>
      <c r="B208" s="2" t="s">
        <v>210</v>
      </c>
      <c r="C208" s="2" t="s">
        <v>33</v>
      </c>
      <c r="D208" s="2" t="s">
        <v>131</v>
      </c>
      <c r="E208" s="2" t="s">
        <v>20</v>
      </c>
      <c r="F208" s="2">
        <v>53</v>
      </c>
      <c r="G208" s="2">
        <v>56</v>
      </c>
      <c r="H208" s="2">
        <v>59</v>
      </c>
      <c r="I208" s="2">
        <v>50</v>
      </c>
      <c r="J208" s="2">
        <v>64</v>
      </c>
      <c r="K208" s="2">
        <v>62</v>
      </c>
    </row>
    <row r="209" spans="1:11" x14ac:dyDescent="0.35">
      <c r="A209" s="2" t="s">
        <v>211</v>
      </c>
      <c r="B209" s="2" t="s">
        <v>212</v>
      </c>
      <c r="C209" s="2" t="s">
        <v>23</v>
      </c>
      <c r="D209" s="2" t="s">
        <v>131</v>
      </c>
      <c r="E209" s="2" t="s">
        <v>15</v>
      </c>
      <c r="F209" s="2">
        <v>65</v>
      </c>
      <c r="G209" s="2">
        <v>55</v>
      </c>
      <c r="H209" s="2">
        <v>62</v>
      </c>
      <c r="I209" s="2">
        <v>81</v>
      </c>
      <c r="J209" s="2">
        <v>62</v>
      </c>
      <c r="K209" s="2">
        <v>78</v>
      </c>
    </row>
    <row r="210" spans="1:11" x14ac:dyDescent="0.35">
      <c r="A210" s="2" t="s">
        <v>211</v>
      </c>
      <c r="B210" s="2" t="s">
        <v>213</v>
      </c>
      <c r="C210" s="2" t="s">
        <v>23</v>
      </c>
      <c r="D210" s="2" t="s">
        <v>131</v>
      </c>
      <c r="E210" s="2" t="s">
        <v>17</v>
      </c>
      <c r="F210" s="2">
        <v>72</v>
      </c>
      <c r="G210" s="2">
        <v>69</v>
      </c>
      <c r="H210" s="2">
        <v>74</v>
      </c>
      <c r="I210" s="2">
        <v>79</v>
      </c>
      <c r="J210" s="2">
        <v>84</v>
      </c>
      <c r="K210" s="2">
        <v>72</v>
      </c>
    </row>
    <row r="211" spans="1:11" x14ac:dyDescent="0.35">
      <c r="A211" s="2" t="s">
        <v>211</v>
      </c>
      <c r="B211" s="2" t="s">
        <v>214</v>
      </c>
      <c r="C211" s="2" t="s">
        <v>23</v>
      </c>
      <c r="D211" s="2" t="s">
        <v>148</v>
      </c>
      <c r="E211" s="2" t="s">
        <v>20</v>
      </c>
      <c r="F211" s="2">
        <v>64</v>
      </c>
      <c r="G211" s="2">
        <v>77</v>
      </c>
      <c r="H211" s="2">
        <v>64</v>
      </c>
      <c r="I211" s="2">
        <v>74</v>
      </c>
      <c r="J211" s="2">
        <v>70</v>
      </c>
      <c r="K211" s="2">
        <v>61</v>
      </c>
    </row>
    <row r="212" spans="1:11" x14ac:dyDescent="0.35">
      <c r="A212" s="2" t="s">
        <v>215</v>
      </c>
      <c r="B212" s="2" t="s">
        <v>216</v>
      </c>
      <c r="C212" s="2" t="s">
        <v>37</v>
      </c>
      <c r="D212" s="2" t="s">
        <v>131</v>
      </c>
      <c r="E212" s="2" t="s">
        <v>15</v>
      </c>
      <c r="F212" s="2">
        <v>51</v>
      </c>
      <c r="G212" s="2">
        <v>67</v>
      </c>
      <c r="H212" s="2">
        <v>50</v>
      </c>
      <c r="I212" s="2">
        <v>58</v>
      </c>
      <c r="J212" s="2">
        <v>56</v>
      </c>
      <c r="K212" s="2">
        <v>56</v>
      </c>
    </row>
    <row r="213" spans="1:11" x14ac:dyDescent="0.35">
      <c r="A213" s="2" t="s">
        <v>215</v>
      </c>
      <c r="B213" s="2" t="s">
        <v>216</v>
      </c>
      <c r="C213" s="2" t="s">
        <v>18</v>
      </c>
      <c r="D213" s="2" t="s">
        <v>164</v>
      </c>
      <c r="E213" s="2" t="s">
        <v>17</v>
      </c>
      <c r="F213" s="2">
        <v>51</v>
      </c>
      <c r="G213" s="2">
        <v>64</v>
      </c>
      <c r="H213" s="2">
        <v>70</v>
      </c>
      <c r="I213" s="2">
        <v>65</v>
      </c>
      <c r="J213" s="2">
        <v>54</v>
      </c>
      <c r="K213" s="2">
        <v>52</v>
      </c>
    </row>
    <row r="214" spans="1:11" x14ac:dyDescent="0.35">
      <c r="A214" s="2" t="s">
        <v>215</v>
      </c>
      <c r="B214" s="2" t="s">
        <v>216</v>
      </c>
      <c r="C214" s="2" t="s">
        <v>18</v>
      </c>
      <c r="D214" s="2" t="s">
        <v>131</v>
      </c>
      <c r="E214" s="2" t="s">
        <v>20</v>
      </c>
      <c r="F214" s="2">
        <v>61</v>
      </c>
      <c r="G214" s="2">
        <v>60</v>
      </c>
      <c r="H214" s="2">
        <v>52</v>
      </c>
      <c r="I214" s="2">
        <v>54</v>
      </c>
      <c r="J214" s="2">
        <v>56</v>
      </c>
      <c r="K214" s="2">
        <v>73</v>
      </c>
    </row>
    <row r="215" spans="1:11" x14ac:dyDescent="0.35">
      <c r="A215" s="2" t="s">
        <v>217</v>
      </c>
      <c r="B215" s="2" t="s">
        <v>218</v>
      </c>
      <c r="C215" s="2" t="s">
        <v>18</v>
      </c>
      <c r="D215" s="2" t="s">
        <v>131</v>
      </c>
      <c r="E215" s="2" t="s">
        <v>15</v>
      </c>
      <c r="F215" s="2">
        <v>61</v>
      </c>
      <c r="G215" s="2">
        <v>58</v>
      </c>
      <c r="H215" s="2">
        <v>72</v>
      </c>
      <c r="I215" s="2">
        <v>73</v>
      </c>
      <c r="J215" s="2">
        <v>69</v>
      </c>
      <c r="K215" s="2">
        <v>78</v>
      </c>
    </row>
    <row r="216" spans="1:11" x14ac:dyDescent="0.35">
      <c r="A216" s="2" t="s">
        <v>217</v>
      </c>
      <c r="B216" s="2" t="s">
        <v>218</v>
      </c>
      <c r="C216" s="2" t="s">
        <v>18</v>
      </c>
      <c r="D216" s="2" t="s">
        <v>131</v>
      </c>
      <c r="E216" s="2" t="s">
        <v>17</v>
      </c>
      <c r="F216" s="2">
        <v>60</v>
      </c>
      <c r="G216" s="2">
        <v>79</v>
      </c>
      <c r="H216" s="2">
        <v>60</v>
      </c>
      <c r="I216" s="2" t="s">
        <v>219</v>
      </c>
      <c r="J216" s="2">
        <v>66</v>
      </c>
      <c r="K216" s="2">
        <v>75</v>
      </c>
    </row>
    <row r="217" spans="1:11" x14ac:dyDescent="0.35">
      <c r="A217" s="2" t="s">
        <v>217</v>
      </c>
      <c r="B217" s="2" t="s">
        <v>218</v>
      </c>
      <c r="C217" s="2" t="s">
        <v>18</v>
      </c>
      <c r="D217" s="2" t="s">
        <v>131</v>
      </c>
      <c r="E217" s="2" t="s">
        <v>20</v>
      </c>
      <c r="F217" s="2">
        <v>65</v>
      </c>
      <c r="G217" s="2">
        <v>74</v>
      </c>
      <c r="H217" s="2">
        <v>75</v>
      </c>
      <c r="I217" s="2">
        <v>84</v>
      </c>
      <c r="J217" s="2">
        <v>82</v>
      </c>
      <c r="K217" s="2">
        <v>84</v>
      </c>
    </row>
    <row r="218" spans="1:11" x14ac:dyDescent="0.35">
      <c r="A218" s="2" t="s">
        <v>220</v>
      </c>
      <c r="B218" s="2" t="s">
        <v>221</v>
      </c>
      <c r="C218" s="2" t="s">
        <v>23</v>
      </c>
      <c r="D218" s="2" t="s">
        <v>148</v>
      </c>
      <c r="E218" s="2" t="s">
        <v>15</v>
      </c>
      <c r="F218" s="2">
        <v>69</v>
      </c>
      <c r="G218" s="2">
        <v>61</v>
      </c>
      <c r="H218" s="2">
        <v>51</v>
      </c>
      <c r="I218" s="2">
        <v>73</v>
      </c>
      <c r="J218" s="2">
        <v>80</v>
      </c>
      <c r="K218" s="2">
        <v>71</v>
      </c>
    </row>
    <row r="219" spans="1:11" x14ac:dyDescent="0.35">
      <c r="A219" s="2" t="s">
        <v>220</v>
      </c>
      <c r="B219" s="2" t="s">
        <v>222</v>
      </c>
      <c r="C219" s="2" t="s">
        <v>33</v>
      </c>
      <c r="D219" s="2" t="s">
        <v>131</v>
      </c>
      <c r="E219" s="2" t="s">
        <v>17</v>
      </c>
      <c r="F219" s="2">
        <v>66</v>
      </c>
      <c r="G219" s="2">
        <v>61</v>
      </c>
      <c r="H219" s="2">
        <v>65</v>
      </c>
      <c r="I219" s="2">
        <v>73</v>
      </c>
      <c r="J219" s="2">
        <v>72</v>
      </c>
      <c r="K219" s="2">
        <v>68</v>
      </c>
    </row>
    <row r="220" spans="1:11" x14ac:dyDescent="0.35">
      <c r="A220" s="2" t="s">
        <v>220</v>
      </c>
      <c r="B220" s="2" t="s">
        <v>223</v>
      </c>
      <c r="C220" s="2" t="s">
        <v>23</v>
      </c>
      <c r="D220" s="2" t="s">
        <v>131</v>
      </c>
      <c r="E220" s="2" t="s">
        <v>20</v>
      </c>
      <c r="F220" s="2">
        <v>74</v>
      </c>
      <c r="G220" s="2">
        <v>70</v>
      </c>
      <c r="H220" s="2">
        <v>73</v>
      </c>
      <c r="I220" s="2">
        <v>74</v>
      </c>
      <c r="J220" s="2">
        <v>78</v>
      </c>
      <c r="K220" s="2">
        <v>81</v>
      </c>
    </row>
    <row r="221" spans="1:11" x14ac:dyDescent="0.35">
      <c r="A221" s="2" t="s">
        <v>224</v>
      </c>
      <c r="B221" s="2" t="s">
        <v>225</v>
      </c>
      <c r="C221" s="2" t="s">
        <v>18</v>
      </c>
      <c r="D221" s="2" t="s">
        <v>131</v>
      </c>
      <c r="E221" s="2" t="s">
        <v>15</v>
      </c>
      <c r="F221" s="2">
        <v>50</v>
      </c>
      <c r="G221" s="2">
        <v>64</v>
      </c>
      <c r="H221" s="2">
        <v>71</v>
      </c>
      <c r="I221" s="2">
        <v>75</v>
      </c>
      <c r="J221" s="2">
        <v>67</v>
      </c>
      <c r="K221" s="2">
        <v>76</v>
      </c>
    </row>
    <row r="222" spans="1:11" x14ac:dyDescent="0.35">
      <c r="A222" s="2" t="s">
        <v>224</v>
      </c>
      <c r="B222" s="2" t="s">
        <v>226</v>
      </c>
      <c r="C222" s="2" t="s">
        <v>18</v>
      </c>
      <c r="D222" s="2" t="s">
        <v>131</v>
      </c>
      <c r="E222" s="2" t="s">
        <v>17</v>
      </c>
      <c r="F222" s="2">
        <v>47</v>
      </c>
      <c r="G222" s="2">
        <v>72</v>
      </c>
      <c r="H222" s="2">
        <v>61</v>
      </c>
      <c r="I222" s="2">
        <v>53</v>
      </c>
      <c r="J222" s="2">
        <v>67</v>
      </c>
      <c r="K222" s="2">
        <v>75</v>
      </c>
    </row>
    <row r="223" spans="1:11" x14ac:dyDescent="0.35">
      <c r="A223" s="2" t="s">
        <v>224</v>
      </c>
      <c r="B223" s="2" t="s">
        <v>225</v>
      </c>
      <c r="C223" s="2" t="s">
        <v>16</v>
      </c>
      <c r="D223" s="2" t="s">
        <v>131</v>
      </c>
      <c r="E223" s="2" t="s">
        <v>20</v>
      </c>
      <c r="F223" s="2">
        <v>55</v>
      </c>
      <c r="G223" s="2">
        <v>80</v>
      </c>
      <c r="H223" s="2">
        <v>74</v>
      </c>
      <c r="I223" s="2">
        <v>60</v>
      </c>
      <c r="J223" s="2">
        <v>77</v>
      </c>
      <c r="K223" s="2">
        <v>73</v>
      </c>
    </row>
    <row r="224" spans="1:11" x14ac:dyDescent="0.35">
      <c r="A224" s="2" t="s">
        <v>227</v>
      </c>
      <c r="B224" s="2" t="s">
        <v>228</v>
      </c>
      <c r="C224" s="2" t="s">
        <v>23</v>
      </c>
      <c r="D224" s="2" t="s">
        <v>131</v>
      </c>
      <c r="E224" s="2" t="s">
        <v>15</v>
      </c>
      <c r="F224" s="2">
        <v>50</v>
      </c>
      <c r="G224" s="2">
        <v>58</v>
      </c>
      <c r="H224" s="2">
        <v>55</v>
      </c>
      <c r="I224" s="2">
        <v>54</v>
      </c>
      <c r="J224" s="2">
        <v>61</v>
      </c>
      <c r="K224" s="2">
        <v>71</v>
      </c>
    </row>
    <row r="225" spans="1:11" x14ac:dyDescent="0.35">
      <c r="A225" s="2" t="s">
        <v>227</v>
      </c>
      <c r="B225" s="2" t="s">
        <v>229</v>
      </c>
      <c r="C225" s="2" t="s">
        <v>23</v>
      </c>
      <c r="D225" s="2" t="s">
        <v>131</v>
      </c>
      <c r="E225" s="2" t="s">
        <v>17</v>
      </c>
      <c r="F225" s="2">
        <v>68</v>
      </c>
      <c r="G225" s="2">
        <v>74</v>
      </c>
      <c r="H225" s="2">
        <v>58</v>
      </c>
      <c r="I225" s="2">
        <v>66</v>
      </c>
      <c r="J225" s="2">
        <v>62</v>
      </c>
      <c r="K225" s="2">
        <v>77</v>
      </c>
    </row>
    <row r="226" spans="1:11" x14ac:dyDescent="0.35">
      <c r="A226" s="2" t="s">
        <v>227</v>
      </c>
      <c r="B226" s="2" t="s">
        <v>229</v>
      </c>
      <c r="C226" s="2" t="s">
        <v>23</v>
      </c>
      <c r="D226" s="2" t="s">
        <v>131</v>
      </c>
      <c r="E226" s="2" t="s">
        <v>20</v>
      </c>
      <c r="F226" s="2">
        <v>51</v>
      </c>
      <c r="G226" s="2">
        <v>59</v>
      </c>
      <c r="H226" s="2">
        <v>62</v>
      </c>
      <c r="I226" s="2">
        <v>73</v>
      </c>
      <c r="J226" s="2">
        <v>70</v>
      </c>
      <c r="K226" s="2">
        <v>75</v>
      </c>
    </row>
    <row r="227" spans="1:11" x14ac:dyDescent="0.35">
      <c r="A227" s="2" t="s">
        <v>230</v>
      </c>
      <c r="B227" s="2" t="s">
        <v>231</v>
      </c>
      <c r="C227" s="2" t="s">
        <v>18</v>
      </c>
      <c r="D227" s="2" t="s">
        <v>131</v>
      </c>
      <c r="E227" s="2" t="s">
        <v>15</v>
      </c>
      <c r="F227" s="2">
        <v>48</v>
      </c>
      <c r="G227" s="2">
        <v>55</v>
      </c>
      <c r="H227" s="2">
        <v>44</v>
      </c>
      <c r="I227" s="2">
        <v>54</v>
      </c>
      <c r="J227" s="2">
        <v>61</v>
      </c>
      <c r="K227" s="2">
        <v>61</v>
      </c>
    </row>
    <row r="228" spans="1:11" x14ac:dyDescent="0.35">
      <c r="A228" s="2" t="s">
        <v>230</v>
      </c>
      <c r="B228" s="2" t="s">
        <v>232</v>
      </c>
      <c r="C228" s="2" t="s">
        <v>37</v>
      </c>
      <c r="D228" s="2" t="s">
        <v>131</v>
      </c>
      <c r="E228" s="2" t="s">
        <v>17</v>
      </c>
      <c r="F228" s="2">
        <v>48</v>
      </c>
      <c r="G228" s="2">
        <v>42</v>
      </c>
      <c r="H228" s="2">
        <v>51</v>
      </c>
      <c r="I228" s="2">
        <v>60</v>
      </c>
      <c r="J228" s="2">
        <v>50</v>
      </c>
      <c r="K228" s="2">
        <v>55</v>
      </c>
    </row>
    <row r="229" spans="1:11" x14ac:dyDescent="0.35">
      <c r="A229" s="2" t="s">
        <v>230</v>
      </c>
      <c r="B229" s="2" t="s">
        <v>232</v>
      </c>
      <c r="C229" s="2" t="s">
        <v>18</v>
      </c>
      <c r="D229" s="2" t="s">
        <v>131</v>
      </c>
      <c r="E229" s="2" t="s">
        <v>20</v>
      </c>
      <c r="F229" s="2">
        <v>36</v>
      </c>
      <c r="G229" s="2">
        <v>44</v>
      </c>
      <c r="H229" s="2">
        <v>41</v>
      </c>
      <c r="I229" s="2">
        <v>54</v>
      </c>
      <c r="J229" s="2">
        <v>48</v>
      </c>
      <c r="K229" s="2">
        <v>52</v>
      </c>
    </row>
    <row r="230" spans="1:11" x14ac:dyDescent="0.35">
      <c r="A230" s="2" t="s">
        <v>233</v>
      </c>
      <c r="B230" s="2" t="s">
        <v>234</v>
      </c>
      <c r="C230" s="2" t="s">
        <v>18</v>
      </c>
      <c r="D230" s="2" t="s">
        <v>200</v>
      </c>
      <c r="E230" s="2" t="s">
        <v>15</v>
      </c>
      <c r="F230" s="2">
        <v>66</v>
      </c>
      <c r="G230" s="2">
        <v>62</v>
      </c>
      <c r="H230" s="2">
        <v>70</v>
      </c>
      <c r="I230" s="2">
        <v>71</v>
      </c>
      <c r="J230" s="2">
        <v>69</v>
      </c>
      <c r="K230" s="2">
        <v>69</v>
      </c>
    </row>
    <row r="231" spans="1:11" x14ac:dyDescent="0.35">
      <c r="A231" s="2" t="s">
        <v>233</v>
      </c>
      <c r="B231" s="2" t="s">
        <v>235</v>
      </c>
      <c r="C231" s="2" t="s">
        <v>18</v>
      </c>
      <c r="D231" s="2" t="s">
        <v>131</v>
      </c>
      <c r="E231" s="2" t="s">
        <v>17</v>
      </c>
      <c r="F231" s="2">
        <v>73</v>
      </c>
      <c r="G231" s="2">
        <v>75</v>
      </c>
      <c r="H231" s="2">
        <v>91</v>
      </c>
      <c r="I231" s="2">
        <v>93</v>
      </c>
      <c r="J231" s="2">
        <v>81</v>
      </c>
      <c r="K231" s="2">
        <v>90</v>
      </c>
    </row>
    <row r="232" spans="1:11" x14ac:dyDescent="0.35">
      <c r="A232" s="2" t="s">
        <v>233</v>
      </c>
      <c r="B232" s="2" t="s">
        <v>236</v>
      </c>
      <c r="C232" s="2" t="s">
        <v>18</v>
      </c>
      <c r="D232" s="2" t="s">
        <v>164</v>
      </c>
      <c r="E232" s="2" t="s">
        <v>20</v>
      </c>
      <c r="F232" s="2">
        <v>91</v>
      </c>
      <c r="G232" s="2">
        <v>88</v>
      </c>
      <c r="H232" s="2">
        <v>98</v>
      </c>
      <c r="I232" s="2">
        <v>98</v>
      </c>
      <c r="J232" s="2">
        <v>92</v>
      </c>
      <c r="K232" s="2">
        <v>82</v>
      </c>
    </row>
    <row r="233" spans="1:11" x14ac:dyDescent="0.35">
      <c r="A233" s="2" t="s">
        <v>237</v>
      </c>
      <c r="B233" s="2" t="s">
        <v>238</v>
      </c>
      <c r="C233" s="2" t="s">
        <v>23</v>
      </c>
      <c r="D233" s="2" t="s">
        <v>131</v>
      </c>
      <c r="E233" s="2" t="s">
        <v>15</v>
      </c>
      <c r="F233" s="2">
        <v>50</v>
      </c>
      <c r="G233" s="2">
        <v>65</v>
      </c>
      <c r="H233" s="2">
        <v>57</v>
      </c>
      <c r="I233" s="2">
        <v>65</v>
      </c>
      <c r="J233" s="2">
        <v>61</v>
      </c>
      <c r="K233" s="2">
        <v>70</v>
      </c>
    </row>
    <row r="234" spans="1:11" x14ac:dyDescent="0.35">
      <c r="A234" s="2" t="s">
        <v>237</v>
      </c>
      <c r="B234" s="2" t="s">
        <v>239</v>
      </c>
      <c r="C234" s="2" t="s">
        <v>30</v>
      </c>
      <c r="D234" s="2" t="s">
        <v>131</v>
      </c>
      <c r="E234" s="2" t="s">
        <v>17</v>
      </c>
      <c r="F234" s="2">
        <v>55</v>
      </c>
      <c r="G234" s="2">
        <v>53</v>
      </c>
      <c r="H234" s="2">
        <v>60</v>
      </c>
      <c r="I234" s="2">
        <v>63</v>
      </c>
      <c r="J234" s="2">
        <v>57</v>
      </c>
      <c r="K234" s="2">
        <v>80</v>
      </c>
    </row>
    <row r="235" spans="1:11" x14ac:dyDescent="0.35">
      <c r="A235" s="2" t="s">
        <v>237</v>
      </c>
      <c r="B235" s="2" t="s">
        <v>240</v>
      </c>
      <c r="C235" s="2" t="s">
        <v>23</v>
      </c>
      <c r="D235" s="2" t="s">
        <v>131</v>
      </c>
      <c r="E235" s="2" t="s">
        <v>20</v>
      </c>
      <c r="F235" s="2">
        <v>59</v>
      </c>
      <c r="G235" s="2">
        <v>63</v>
      </c>
      <c r="H235" s="2">
        <v>69</v>
      </c>
      <c r="I235" s="2">
        <v>68</v>
      </c>
      <c r="J235" s="2">
        <v>75</v>
      </c>
      <c r="K235" s="2">
        <v>61</v>
      </c>
    </row>
    <row r="236" spans="1:11" x14ac:dyDescent="0.35">
      <c r="A236" s="2" t="s">
        <v>241</v>
      </c>
      <c r="B236" s="2" t="s">
        <v>242</v>
      </c>
      <c r="C236" s="2" t="s">
        <v>18</v>
      </c>
      <c r="D236" s="2" t="s">
        <v>131</v>
      </c>
      <c r="E236" s="2" t="s">
        <v>15</v>
      </c>
      <c r="F236" s="2">
        <v>42</v>
      </c>
      <c r="G236" s="2">
        <v>59</v>
      </c>
      <c r="H236" s="2">
        <v>64</v>
      </c>
      <c r="I236" s="2">
        <v>59</v>
      </c>
      <c r="J236" s="2">
        <v>61</v>
      </c>
      <c r="K236" s="2">
        <v>56</v>
      </c>
    </row>
    <row r="237" spans="1:11" x14ac:dyDescent="0.35">
      <c r="A237" s="2" t="s">
        <v>241</v>
      </c>
      <c r="B237" s="2" t="s">
        <v>242</v>
      </c>
      <c r="C237" s="2" t="s">
        <v>18</v>
      </c>
      <c r="D237" s="2" t="s">
        <v>131</v>
      </c>
      <c r="E237" s="2" t="s">
        <v>17</v>
      </c>
      <c r="F237" s="2">
        <v>51</v>
      </c>
      <c r="G237" s="2">
        <v>52</v>
      </c>
      <c r="H237" s="2">
        <v>54</v>
      </c>
      <c r="I237" s="2">
        <v>65</v>
      </c>
      <c r="J237" s="2">
        <v>47</v>
      </c>
      <c r="K237" s="2">
        <v>64</v>
      </c>
    </row>
    <row r="238" spans="1:11" x14ac:dyDescent="0.35">
      <c r="A238" s="2" t="s">
        <v>241</v>
      </c>
      <c r="B238" s="2" t="s">
        <v>242</v>
      </c>
      <c r="C238" s="2" t="s">
        <v>18</v>
      </c>
      <c r="D238" s="2" t="s">
        <v>131</v>
      </c>
      <c r="E238" s="2" t="s">
        <v>20</v>
      </c>
      <c r="F238" s="2">
        <v>47</v>
      </c>
      <c r="G238" s="2">
        <v>54</v>
      </c>
      <c r="H238" s="2">
        <v>64</v>
      </c>
      <c r="I238" s="2">
        <v>64</v>
      </c>
      <c r="J238" s="2">
        <v>69</v>
      </c>
      <c r="K238" s="2">
        <v>52</v>
      </c>
    </row>
    <row r="239" spans="1:11" x14ac:dyDescent="0.35">
      <c r="A239" s="2" t="s">
        <v>243</v>
      </c>
      <c r="B239" s="2" t="s">
        <v>244</v>
      </c>
      <c r="C239" s="2" t="s">
        <v>18</v>
      </c>
      <c r="D239" s="2" t="s">
        <v>131</v>
      </c>
      <c r="E239" s="2" t="s">
        <v>15</v>
      </c>
      <c r="F239" s="2">
        <v>48</v>
      </c>
      <c r="G239" s="2">
        <v>54</v>
      </c>
      <c r="H239" s="2">
        <v>51</v>
      </c>
      <c r="I239" s="2">
        <v>63</v>
      </c>
      <c r="J239" s="2">
        <v>67</v>
      </c>
      <c r="K239" s="2">
        <v>55</v>
      </c>
    </row>
    <row r="240" spans="1:11" x14ac:dyDescent="0.35">
      <c r="A240" s="2" t="s">
        <v>243</v>
      </c>
      <c r="B240" s="2" t="s">
        <v>244</v>
      </c>
      <c r="C240" s="2" t="s">
        <v>18</v>
      </c>
      <c r="D240" s="2" t="s">
        <v>148</v>
      </c>
      <c r="E240" s="2" t="s">
        <v>17</v>
      </c>
      <c r="F240" s="2">
        <v>43</v>
      </c>
      <c r="G240" s="2">
        <v>47</v>
      </c>
      <c r="H240" s="2">
        <v>61</v>
      </c>
      <c r="I240" s="2">
        <v>55</v>
      </c>
      <c r="J240" s="2">
        <v>59</v>
      </c>
      <c r="K240" s="2">
        <v>59</v>
      </c>
    </row>
    <row r="241" spans="1:11" x14ac:dyDescent="0.35">
      <c r="A241" s="2" t="s">
        <v>243</v>
      </c>
      <c r="B241" s="2" t="s">
        <v>244</v>
      </c>
      <c r="C241" s="2" t="s">
        <v>18</v>
      </c>
      <c r="D241" s="2" t="s">
        <v>148</v>
      </c>
      <c r="E241" s="2" t="s">
        <v>20</v>
      </c>
      <c r="F241" s="2">
        <v>41</v>
      </c>
      <c r="G241" s="2">
        <v>56</v>
      </c>
      <c r="H241" s="2">
        <v>54</v>
      </c>
      <c r="I241" s="2">
        <v>63</v>
      </c>
      <c r="J241" s="2">
        <v>56</v>
      </c>
      <c r="K241" s="2">
        <v>57</v>
      </c>
    </row>
    <row r="242" spans="1:11" x14ac:dyDescent="0.35">
      <c r="A242" s="2" t="s">
        <v>245</v>
      </c>
      <c r="B242" s="2" t="s">
        <v>246</v>
      </c>
      <c r="C242" s="2" t="s">
        <v>23</v>
      </c>
      <c r="D242" s="2" t="s">
        <v>247</v>
      </c>
      <c r="E242" s="2" t="s">
        <v>15</v>
      </c>
      <c r="F242" s="2">
        <v>42</v>
      </c>
      <c r="G242" s="2">
        <v>63</v>
      </c>
      <c r="H242" s="2">
        <v>57</v>
      </c>
      <c r="I242" s="2">
        <v>55</v>
      </c>
      <c r="J242" s="2">
        <v>61</v>
      </c>
      <c r="K242" s="2">
        <v>54</v>
      </c>
    </row>
    <row r="243" spans="1:11" x14ac:dyDescent="0.35">
      <c r="A243" s="2" t="s">
        <v>245</v>
      </c>
      <c r="B243" s="2" t="s">
        <v>248</v>
      </c>
      <c r="C243" s="2" t="s">
        <v>23</v>
      </c>
      <c r="D243" s="2" t="s">
        <v>247</v>
      </c>
      <c r="E243" s="2" t="s">
        <v>17</v>
      </c>
      <c r="F243" s="2">
        <v>59</v>
      </c>
      <c r="G243" s="2">
        <v>47</v>
      </c>
      <c r="H243" s="2">
        <v>46</v>
      </c>
      <c r="I243" s="2">
        <v>51</v>
      </c>
      <c r="J243" s="2">
        <v>67</v>
      </c>
      <c r="K243" s="2">
        <v>58</v>
      </c>
    </row>
    <row r="244" spans="1:11" x14ac:dyDescent="0.35">
      <c r="A244" s="2" t="s">
        <v>245</v>
      </c>
      <c r="B244" s="2" t="s">
        <v>248</v>
      </c>
      <c r="C244" s="2" t="s">
        <v>23</v>
      </c>
      <c r="D244" s="2" t="s">
        <v>247</v>
      </c>
      <c r="E244" s="2" t="s">
        <v>20</v>
      </c>
      <c r="F244" s="2">
        <v>51</v>
      </c>
      <c r="G244" s="2">
        <v>49</v>
      </c>
      <c r="H244" s="2">
        <v>39</v>
      </c>
      <c r="I244" s="2">
        <v>58</v>
      </c>
      <c r="J244" s="2">
        <v>49</v>
      </c>
      <c r="K244" s="2">
        <v>46</v>
      </c>
    </row>
    <row r="245" spans="1:11" x14ac:dyDescent="0.35">
      <c r="A245" s="2" t="s">
        <v>249</v>
      </c>
      <c r="B245" s="2" t="s">
        <v>250</v>
      </c>
      <c r="C245" s="2" t="s">
        <v>18</v>
      </c>
      <c r="D245" s="2" t="s">
        <v>247</v>
      </c>
      <c r="E245" s="2" t="s">
        <v>15</v>
      </c>
      <c r="F245" s="2">
        <v>53</v>
      </c>
      <c r="G245" s="2">
        <v>66</v>
      </c>
      <c r="H245" s="2">
        <v>72</v>
      </c>
      <c r="I245" s="2">
        <v>55</v>
      </c>
      <c r="J245" s="2">
        <v>50</v>
      </c>
      <c r="K245" s="2">
        <v>74</v>
      </c>
    </row>
    <row r="246" spans="1:11" x14ac:dyDescent="0.35">
      <c r="A246" s="2" t="s">
        <v>249</v>
      </c>
      <c r="B246" s="2" t="s">
        <v>250</v>
      </c>
      <c r="C246" s="2" t="s">
        <v>37</v>
      </c>
      <c r="D246" s="2" t="s">
        <v>247</v>
      </c>
      <c r="E246" s="2" t="s">
        <v>17</v>
      </c>
      <c r="F246" s="2">
        <v>59</v>
      </c>
      <c r="G246" s="2">
        <v>59</v>
      </c>
      <c r="H246" s="2">
        <v>63</v>
      </c>
      <c r="I246" s="2">
        <v>71</v>
      </c>
      <c r="J246" s="2">
        <v>80</v>
      </c>
      <c r="K246" s="2">
        <v>68</v>
      </c>
    </row>
    <row r="247" spans="1:11" x14ac:dyDescent="0.35">
      <c r="A247" s="2" t="s">
        <v>249</v>
      </c>
      <c r="B247" s="2" t="s">
        <v>250</v>
      </c>
      <c r="C247" s="2" t="s">
        <v>16</v>
      </c>
      <c r="D247" s="2" t="s">
        <v>247</v>
      </c>
      <c r="E247" s="2" t="s">
        <v>20</v>
      </c>
      <c r="F247" s="2">
        <v>66</v>
      </c>
      <c r="G247" s="2">
        <v>60</v>
      </c>
      <c r="H247" s="2">
        <v>58</v>
      </c>
      <c r="I247" s="2">
        <v>69</v>
      </c>
      <c r="J247" s="2">
        <v>60</v>
      </c>
      <c r="K247" s="2">
        <v>60</v>
      </c>
    </row>
    <row r="248" spans="1:11" x14ac:dyDescent="0.35">
      <c r="A248" s="2" t="s">
        <v>251</v>
      </c>
      <c r="B248" s="2" t="s">
        <v>252</v>
      </c>
      <c r="C248" s="2" t="s">
        <v>23</v>
      </c>
      <c r="D248" s="2" t="s">
        <v>247</v>
      </c>
      <c r="E248" s="2" t="s">
        <v>15</v>
      </c>
      <c r="F248" s="2">
        <v>65</v>
      </c>
      <c r="G248" s="2">
        <v>51</v>
      </c>
      <c r="H248" s="2">
        <v>63</v>
      </c>
      <c r="I248" s="2">
        <v>65</v>
      </c>
      <c r="J248" s="2">
        <v>66</v>
      </c>
      <c r="K248" s="2">
        <v>61</v>
      </c>
    </row>
    <row r="249" spans="1:11" x14ac:dyDescent="0.35">
      <c r="A249" s="2" t="s">
        <v>251</v>
      </c>
      <c r="B249" s="2" t="s">
        <v>253</v>
      </c>
      <c r="C249" s="2" t="s">
        <v>23</v>
      </c>
      <c r="D249" s="2" t="s">
        <v>247</v>
      </c>
      <c r="E249" s="2" t="s">
        <v>17</v>
      </c>
      <c r="F249" s="2">
        <v>46</v>
      </c>
      <c r="G249" s="2">
        <v>61</v>
      </c>
      <c r="H249" s="2">
        <v>56</v>
      </c>
      <c r="I249" s="2">
        <v>66</v>
      </c>
      <c r="J249" s="2">
        <v>70</v>
      </c>
      <c r="K249" s="2">
        <v>67</v>
      </c>
    </row>
    <row r="250" spans="1:11" x14ac:dyDescent="0.35">
      <c r="A250" s="2" t="s">
        <v>251</v>
      </c>
      <c r="B250" s="2" t="s">
        <v>252</v>
      </c>
      <c r="C250" s="2" t="s">
        <v>23</v>
      </c>
      <c r="D250" s="2" t="s">
        <v>247</v>
      </c>
      <c r="E250" s="2" t="s">
        <v>20</v>
      </c>
      <c r="F250" s="2">
        <v>54</v>
      </c>
      <c r="G250" s="2">
        <v>69</v>
      </c>
      <c r="H250" s="2">
        <v>60</v>
      </c>
      <c r="I250" s="2">
        <v>64</v>
      </c>
      <c r="J250" s="2">
        <v>69</v>
      </c>
      <c r="K250" s="2">
        <v>75</v>
      </c>
    </row>
    <row r="251" spans="1:11" x14ac:dyDescent="0.35">
      <c r="A251" s="2" t="s">
        <v>254</v>
      </c>
      <c r="B251" s="2" t="s">
        <v>255</v>
      </c>
      <c r="C251" s="2" t="s">
        <v>23</v>
      </c>
      <c r="D251" s="2" t="s">
        <v>247</v>
      </c>
      <c r="E251" s="2" t="s">
        <v>15</v>
      </c>
      <c r="F251" s="2">
        <v>79</v>
      </c>
      <c r="G251" s="2">
        <v>82</v>
      </c>
      <c r="H251" s="2">
        <v>590</v>
      </c>
      <c r="I251" s="2">
        <v>64</v>
      </c>
      <c r="J251" s="2">
        <v>75</v>
      </c>
      <c r="K251" s="2">
        <v>80</v>
      </c>
    </row>
    <row r="252" spans="1:11" x14ac:dyDescent="0.35">
      <c r="A252" s="2" t="s">
        <v>254</v>
      </c>
      <c r="B252" s="2" t="s">
        <v>255</v>
      </c>
      <c r="C252" s="2" t="s">
        <v>23</v>
      </c>
      <c r="D252" s="2" t="s">
        <v>256</v>
      </c>
      <c r="E252" s="2" t="s">
        <v>17</v>
      </c>
      <c r="F252" s="2">
        <v>66</v>
      </c>
      <c r="G252" s="2">
        <v>88</v>
      </c>
      <c r="H252" s="2"/>
      <c r="I252" s="2">
        <v>88</v>
      </c>
      <c r="J252" s="2">
        <v>74</v>
      </c>
      <c r="K252" s="2">
        <v>73</v>
      </c>
    </row>
    <row r="253" spans="1:11" x14ac:dyDescent="0.35">
      <c r="A253" s="2" t="s">
        <v>254</v>
      </c>
      <c r="B253" s="2" t="s">
        <v>255</v>
      </c>
      <c r="C253" s="2" t="s">
        <v>33</v>
      </c>
      <c r="D253" s="2" t="s">
        <v>247</v>
      </c>
      <c r="E253" s="2" t="s">
        <v>20</v>
      </c>
      <c r="F253" s="2">
        <v>62</v>
      </c>
      <c r="G253" s="2">
        <v>75</v>
      </c>
      <c r="H253" s="2">
        <v>65</v>
      </c>
      <c r="I253" s="2">
        <v>74</v>
      </c>
      <c r="J253" s="2">
        <v>77</v>
      </c>
      <c r="K253" s="2">
        <v>88</v>
      </c>
    </row>
    <row r="254" spans="1:11" x14ac:dyDescent="0.35">
      <c r="A254" s="2" t="s">
        <v>257</v>
      </c>
      <c r="B254" s="2" t="s">
        <v>258</v>
      </c>
      <c r="C254" s="2" t="s">
        <v>18</v>
      </c>
      <c r="D254" s="2" t="s">
        <v>247</v>
      </c>
      <c r="E254" s="2" t="s">
        <v>15</v>
      </c>
      <c r="F254" s="2">
        <v>75</v>
      </c>
      <c r="G254" s="2">
        <v>75</v>
      </c>
      <c r="H254" s="2">
        <v>80</v>
      </c>
      <c r="I254" s="2">
        <v>89</v>
      </c>
      <c r="J254" s="2">
        <v>93</v>
      </c>
      <c r="K254" s="2">
        <v>84</v>
      </c>
    </row>
    <row r="255" spans="1:11" x14ac:dyDescent="0.35">
      <c r="A255" s="2" t="s">
        <v>257</v>
      </c>
      <c r="B255" s="2" t="s">
        <v>259</v>
      </c>
      <c r="C255" s="2" t="s">
        <v>18</v>
      </c>
      <c r="D255" s="2" t="s">
        <v>247</v>
      </c>
      <c r="E255" s="2" t="s">
        <v>17</v>
      </c>
      <c r="F255" s="2">
        <v>79</v>
      </c>
      <c r="G255" s="2">
        <v>90</v>
      </c>
      <c r="H255" s="2">
        <v>82</v>
      </c>
      <c r="I255" s="2">
        <v>85</v>
      </c>
      <c r="J255" s="2">
        <v>81</v>
      </c>
      <c r="K255" s="2">
        <v>82</v>
      </c>
    </row>
    <row r="256" spans="1:11" x14ac:dyDescent="0.35">
      <c r="A256" s="2" t="s">
        <v>257</v>
      </c>
      <c r="B256" s="2" t="s">
        <v>258</v>
      </c>
      <c r="C256" s="2" t="s">
        <v>18</v>
      </c>
      <c r="D256" s="2" t="s">
        <v>247</v>
      </c>
      <c r="E256" s="2" t="s">
        <v>20</v>
      </c>
      <c r="F256" s="2">
        <v>55</v>
      </c>
      <c r="G256" s="2">
        <v>80</v>
      </c>
      <c r="H256" s="2">
        <v>71</v>
      </c>
      <c r="I256" s="2">
        <v>80</v>
      </c>
      <c r="J256" s="2">
        <v>83</v>
      </c>
      <c r="K256" s="2">
        <v>76</v>
      </c>
    </row>
    <row r="257" spans="1:11" x14ac:dyDescent="0.35">
      <c r="A257" s="2" t="s">
        <v>260</v>
      </c>
      <c r="B257" s="2" t="s">
        <v>261</v>
      </c>
      <c r="C257" s="2" t="s">
        <v>13</v>
      </c>
      <c r="D257" s="2" t="s">
        <v>247</v>
      </c>
      <c r="E257" s="2" t="s">
        <v>15</v>
      </c>
      <c r="F257" s="2">
        <v>52</v>
      </c>
      <c r="G257" s="2">
        <v>52</v>
      </c>
      <c r="H257" s="2">
        <v>59</v>
      </c>
      <c r="I257" s="2">
        <v>55</v>
      </c>
      <c r="J257" s="2">
        <v>57</v>
      </c>
      <c r="K257" s="2" t="s">
        <v>262</v>
      </c>
    </row>
    <row r="258" spans="1:11" x14ac:dyDescent="0.35">
      <c r="A258" s="2" t="s">
        <v>260</v>
      </c>
      <c r="B258" s="2" t="s">
        <v>263</v>
      </c>
      <c r="C258" s="2" t="s">
        <v>37</v>
      </c>
      <c r="D258" s="2" t="s">
        <v>247</v>
      </c>
      <c r="E258" s="2" t="s">
        <v>17</v>
      </c>
      <c r="F258" s="2">
        <v>60</v>
      </c>
      <c r="G258" s="2">
        <v>41</v>
      </c>
      <c r="H258" s="2">
        <v>50</v>
      </c>
      <c r="I258" s="2">
        <v>57</v>
      </c>
      <c r="J258" s="2">
        <v>49</v>
      </c>
      <c r="K258" s="2">
        <v>56</v>
      </c>
    </row>
    <row r="259" spans="1:11" x14ac:dyDescent="0.35">
      <c r="A259" s="2" t="s">
        <v>260</v>
      </c>
      <c r="B259" s="2" t="s">
        <v>261</v>
      </c>
      <c r="C259" s="2" t="s">
        <v>18</v>
      </c>
      <c r="D259" s="2" t="s">
        <v>264</v>
      </c>
      <c r="E259" s="2" t="s">
        <v>20</v>
      </c>
      <c r="F259" s="2">
        <v>40</v>
      </c>
      <c r="G259" s="2">
        <v>62</v>
      </c>
      <c r="H259" s="2">
        <v>49</v>
      </c>
      <c r="I259" s="2">
        <v>67</v>
      </c>
      <c r="J259" s="2">
        <v>63</v>
      </c>
      <c r="K259" s="2">
        <v>61</v>
      </c>
    </row>
    <row r="260" spans="1:11" x14ac:dyDescent="0.35">
      <c r="A260" s="2" t="s">
        <v>265</v>
      </c>
      <c r="B260" s="2" t="s">
        <v>266</v>
      </c>
      <c r="C260" s="2" t="s">
        <v>37</v>
      </c>
      <c r="D260" s="2" t="s">
        <v>256</v>
      </c>
      <c r="E260" s="2" t="s">
        <v>15</v>
      </c>
      <c r="F260" s="2">
        <v>72</v>
      </c>
      <c r="G260" s="2">
        <v>84</v>
      </c>
      <c r="H260" s="2">
        <v>89</v>
      </c>
      <c r="I260" s="2">
        <v>91</v>
      </c>
      <c r="J260" s="2">
        <v>98</v>
      </c>
      <c r="K260" s="2">
        <v>89</v>
      </c>
    </row>
    <row r="261" spans="1:11" x14ac:dyDescent="0.35">
      <c r="A261" s="2" t="s">
        <v>265</v>
      </c>
      <c r="B261" s="2" t="s">
        <v>266</v>
      </c>
      <c r="C261" s="2" t="s">
        <v>18</v>
      </c>
      <c r="D261" s="2" t="s">
        <v>247</v>
      </c>
      <c r="E261" s="2" t="s">
        <v>17</v>
      </c>
      <c r="F261" s="2">
        <v>95</v>
      </c>
      <c r="G261" s="2">
        <v>88</v>
      </c>
      <c r="H261" s="2">
        <v>82</v>
      </c>
      <c r="I261" s="2">
        <v>98</v>
      </c>
      <c r="J261" s="2">
        <v>98</v>
      </c>
      <c r="K261" s="2">
        <v>95</v>
      </c>
    </row>
    <row r="262" spans="1:11" x14ac:dyDescent="0.35">
      <c r="A262" s="2" t="s">
        <v>265</v>
      </c>
      <c r="B262" s="2" t="s">
        <v>266</v>
      </c>
      <c r="C262" s="2" t="s">
        <v>18</v>
      </c>
      <c r="D262" s="2" t="s">
        <v>247</v>
      </c>
      <c r="E262" s="2" t="s">
        <v>20</v>
      </c>
      <c r="F262" s="2">
        <v>82</v>
      </c>
      <c r="G262" s="2">
        <v>97</v>
      </c>
      <c r="H262" s="2">
        <v>83</v>
      </c>
      <c r="I262" s="2">
        <v>98</v>
      </c>
      <c r="J262" s="2">
        <v>85</v>
      </c>
      <c r="K262" s="2">
        <v>97</v>
      </c>
    </row>
    <row r="263" spans="1:11" x14ac:dyDescent="0.35">
      <c r="A263" s="2" t="s">
        <v>267</v>
      </c>
      <c r="B263" s="2" t="s">
        <v>268</v>
      </c>
      <c r="C263" s="2" t="s">
        <v>33</v>
      </c>
      <c r="D263" s="2" t="s">
        <v>247</v>
      </c>
      <c r="E263" s="2" t="s">
        <v>15</v>
      </c>
      <c r="F263" s="2">
        <v>53</v>
      </c>
      <c r="G263" s="2">
        <v>67</v>
      </c>
      <c r="H263" s="2">
        <v>44</v>
      </c>
      <c r="I263" s="2">
        <v>64</v>
      </c>
      <c r="J263" s="2">
        <v>62</v>
      </c>
      <c r="K263" s="2">
        <v>65</v>
      </c>
    </row>
    <row r="264" spans="1:11" x14ac:dyDescent="0.35">
      <c r="A264" s="2" t="s">
        <v>267</v>
      </c>
      <c r="B264" s="2" t="s">
        <v>268</v>
      </c>
      <c r="C264" s="2" t="s">
        <v>23</v>
      </c>
      <c r="D264" s="2" t="s">
        <v>247</v>
      </c>
      <c r="E264" s="2" t="s">
        <v>17</v>
      </c>
      <c r="F264" s="2">
        <v>48</v>
      </c>
      <c r="G264" s="2">
        <v>51</v>
      </c>
      <c r="H264" s="2">
        <v>55</v>
      </c>
      <c r="I264" s="2" t="s">
        <v>269</v>
      </c>
      <c r="J264" s="2">
        <v>75</v>
      </c>
      <c r="K264" s="2">
        <v>67</v>
      </c>
    </row>
    <row r="265" spans="1:11" x14ac:dyDescent="0.35">
      <c r="A265" s="2" t="s">
        <v>267</v>
      </c>
      <c r="B265" s="2" t="s">
        <v>270</v>
      </c>
      <c r="C265" s="2" t="s">
        <v>33</v>
      </c>
      <c r="D265" s="2" t="s">
        <v>247</v>
      </c>
      <c r="E265" s="2" t="s">
        <v>20</v>
      </c>
      <c r="F265" s="2">
        <v>55</v>
      </c>
      <c r="G265" s="2">
        <v>66</v>
      </c>
      <c r="H265" s="2">
        <v>48</v>
      </c>
      <c r="I265" s="2">
        <v>69</v>
      </c>
      <c r="J265" s="2">
        <v>72</v>
      </c>
      <c r="K265" s="2">
        <v>74</v>
      </c>
    </row>
    <row r="266" spans="1:11" x14ac:dyDescent="0.35">
      <c r="A266" s="2" t="s">
        <v>271</v>
      </c>
      <c r="B266" s="2" t="s">
        <v>272</v>
      </c>
      <c r="C266" s="2" t="s">
        <v>37</v>
      </c>
      <c r="D266" s="2" t="s">
        <v>247</v>
      </c>
      <c r="E266" s="2" t="s">
        <v>15</v>
      </c>
      <c r="F266" s="2">
        <v>66</v>
      </c>
      <c r="G266" s="2">
        <v>66</v>
      </c>
      <c r="H266" s="2">
        <v>66</v>
      </c>
      <c r="I266" s="2">
        <v>79</v>
      </c>
      <c r="J266" s="2">
        <v>82</v>
      </c>
      <c r="K266" s="2">
        <v>89</v>
      </c>
    </row>
    <row r="267" spans="1:11" x14ac:dyDescent="0.35">
      <c r="A267" s="2" t="s">
        <v>271</v>
      </c>
      <c r="B267" s="2" t="s">
        <v>272</v>
      </c>
      <c r="C267" s="2" t="s">
        <v>18</v>
      </c>
      <c r="D267" s="2" t="s">
        <v>247</v>
      </c>
      <c r="E267" s="2" t="s">
        <v>17</v>
      </c>
      <c r="F267" s="2">
        <v>80</v>
      </c>
      <c r="G267" s="2">
        <v>82</v>
      </c>
      <c r="H267" s="2">
        <v>74</v>
      </c>
      <c r="I267" s="2">
        <v>80</v>
      </c>
      <c r="J267" s="2">
        <v>78</v>
      </c>
      <c r="K267" s="2">
        <v>89</v>
      </c>
    </row>
    <row r="268" spans="1:11" x14ac:dyDescent="0.35">
      <c r="A268" s="2" t="s">
        <v>271</v>
      </c>
      <c r="B268" s="2" t="s">
        <v>272</v>
      </c>
      <c r="C268" s="2" t="s">
        <v>18</v>
      </c>
      <c r="D268" s="2" t="s">
        <v>247</v>
      </c>
      <c r="E268" s="2" t="s">
        <v>20</v>
      </c>
      <c r="F268" s="2">
        <v>75</v>
      </c>
      <c r="G268" s="2">
        <v>78</v>
      </c>
      <c r="H268" s="2">
        <v>66</v>
      </c>
      <c r="I268" s="2">
        <v>87</v>
      </c>
      <c r="J268" s="2">
        <v>70</v>
      </c>
      <c r="K268" s="2">
        <v>91</v>
      </c>
    </row>
    <row r="269" spans="1:11" x14ac:dyDescent="0.35">
      <c r="A269" s="2" t="s">
        <v>273</v>
      </c>
      <c r="B269" s="2" t="s">
        <v>274</v>
      </c>
      <c r="C269" s="2" t="s">
        <v>30</v>
      </c>
      <c r="D269" s="2" t="s">
        <v>247</v>
      </c>
      <c r="E269" s="2" t="s">
        <v>15</v>
      </c>
      <c r="F269" s="2">
        <v>68</v>
      </c>
      <c r="G269" s="2">
        <v>56</v>
      </c>
      <c r="H269" s="2">
        <v>64</v>
      </c>
      <c r="I269" s="2">
        <v>61</v>
      </c>
      <c r="J269" s="2">
        <v>70</v>
      </c>
      <c r="K269" s="2">
        <v>77</v>
      </c>
    </row>
    <row r="270" spans="1:11" x14ac:dyDescent="0.35">
      <c r="A270" s="2" t="s">
        <v>273</v>
      </c>
      <c r="B270" s="2" t="s">
        <v>274</v>
      </c>
      <c r="C270" s="2" t="s">
        <v>23</v>
      </c>
      <c r="D270" s="2" t="s">
        <v>275</v>
      </c>
      <c r="E270" s="2" t="s">
        <v>17</v>
      </c>
      <c r="F270" s="2">
        <v>61</v>
      </c>
      <c r="G270" s="2">
        <v>58</v>
      </c>
      <c r="H270" s="2">
        <v>67</v>
      </c>
      <c r="I270" s="2">
        <v>72</v>
      </c>
      <c r="J270" s="2">
        <v>71</v>
      </c>
      <c r="K270" s="2">
        <v>66</v>
      </c>
    </row>
    <row r="271" spans="1:11" x14ac:dyDescent="0.35">
      <c r="A271" s="2" t="s">
        <v>273</v>
      </c>
      <c r="B271" s="2" t="s">
        <v>274</v>
      </c>
      <c r="C271" s="2" t="s">
        <v>30</v>
      </c>
      <c r="D271" s="2" t="s">
        <v>247</v>
      </c>
      <c r="E271" s="2" t="s">
        <v>20</v>
      </c>
      <c r="F271" s="2">
        <v>60</v>
      </c>
      <c r="G271" s="2">
        <v>70</v>
      </c>
      <c r="H271" s="2">
        <v>65</v>
      </c>
      <c r="I271" s="2">
        <v>86</v>
      </c>
      <c r="J271" s="2">
        <v>74</v>
      </c>
      <c r="K271" s="2">
        <v>73</v>
      </c>
    </row>
    <row r="272" spans="1:11" x14ac:dyDescent="0.35">
      <c r="A272" s="2" t="s">
        <v>276</v>
      </c>
      <c r="B272" s="2" t="s">
        <v>277</v>
      </c>
      <c r="C272" s="2" t="s">
        <v>37</v>
      </c>
      <c r="D272" s="2" t="s">
        <v>247</v>
      </c>
      <c r="E272" s="2" t="s">
        <v>15</v>
      </c>
      <c r="F272" s="2">
        <v>41</v>
      </c>
      <c r="G272" s="2">
        <v>35</v>
      </c>
      <c r="H272" s="2">
        <v>44</v>
      </c>
      <c r="I272" s="2">
        <v>58</v>
      </c>
      <c r="J272" s="2">
        <v>41</v>
      </c>
      <c r="K272" s="2">
        <v>51</v>
      </c>
    </row>
    <row r="273" spans="1:11" x14ac:dyDescent="0.35">
      <c r="A273" s="2" t="s">
        <v>276</v>
      </c>
      <c r="B273" s="2" t="s">
        <v>277</v>
      </c>
      <c r="C273" s="2" t="s">
        <v>18</v>
      </c>
      <c r="D273" s="2" t="s">
        <v>247</v>
      </c>
      <c r="E273" s="2" t="s">
        <v>17</v>
      </c>
      <c r="F273" s="2">
        <v>46</v>
      </c>
      <c r="G273" s="2">
        <v>34</v>
      </c>
      <c r="H273" s="2">
        <v>56</v>
      </c>
      <c r="I273" s="2">
        <v>42</v>
      </c>
      <c r="J273" s="2">
        <v>48</v>
      </c>
      <c r="K273" s="2">
        <v>55</v>
      </c>
    </row>
    <row r="274" spans="1:11" x14ac:dyDescent="0.35">
      <c r="A274" s="2" t="s">
        <v>276</v>
      </c>
      <c r="B274" s="2" t="s">
        <v>277</v>
      </c>
      <c r="C274" s="2" t="s">
        <v>37</v>
      </c>
      <c r="D274" s="2" t="s">
        <v>247</v>
      </c>
      <c r="E274" s="2" t="s">
        <v>20</v>
      </c>
      <c r="F274" s="2">
        <v>42</v>
      </c>
      <c r="G274" s="2">
        <v>55</v>
      </c>
      <c r="H274" s="2">
        <v>48</v>
      </c>
      <c r="I274" s="2">
        <v>56</v>
      </c>
      <c r="J274" s="2">
        <v>54</v>
      </c>
      <c r="K274" s="2">
        <v>66</v>
      </c>
    </row>
    <row r="275" spans="1:11" x14ac:dyDescent="0.35">
      <c r="A275" s="2" t="s">
        <v>278</v>
      </c>
      <c r="B275" s="2" t="s">
        <v>279</v>
      </c>
      <c r="C275" s="2" t="s">
        <v>23</v>
      </c>
      <c r="D275" s="2" t="s">
        <v>247</v>
      </c>
      <c r="E275" s="2" t="s">
        <v>15</v>
      </c>
      <c r="F275" s="2">
        <v>44</v>
      </c>
      <c r="G275" s="2">
        <v>67</v>
      </c>
      <c r="H275" s="2">
        <v>60</v>
      </c>
      <c r="I275" s="2">
        <v>61</v>
      </c>
      <c r="J275" s="2">
        <v>63</v>
      </c>
      <c r="K275" s="2">
        <v>67</v>
      </c>
    </row>
    <row r="276" spans="1:11" x14ac:dyDescent="0.35">
      <c r="A276" s="2" t="s">
        <v>278</v>
      </c>
      <c r="B276" s="2" t="s">
        <v>279</v>
      </c>
      <c r="C276" s="2" t="s">
        <v>30</v>
      </c>
      <c r="D276" s="2" t="s">
        <v>247</v>
      </c>
      <c r="E276" s="2" t="s">
        <v>17</v>
      </c>
      <c r="F276" s="2">
        <v>69</v>
      </c>
      <c r="G276" s="2">
        <v>65</v>
      </c>
      <c r="H276" s="2">
        <v>68</v>
      </c>
      <c r="I276" s="2">
        <v>76</v>
      </c>
      <c r="J276" s="2">
        <v>67</v>
      </c>
      <c r="K276" s="2">
        <v>85</v>
      </c>
    </row>
    <row r="277" spans="1:11" x14ac:dyDescent="0.35">
      <c r="A277" s="2" t="s">
        <v>278</v>
      </c>
      <c r="B277" s="2" t="s">
        <v>279</v>
      </c>
      <c r="C277" s="2" t="s">
        <v>23</v>
      </c>
      <c r="D277" s="2" t="s">
        <v>247</v>
      </c>
      <c r="E277" s="2" t="s">
        <v>20</v>
      </c>
      <c r="F277" s="2">
        <v>89</v>
      </c>
      <c r="G277" s="2">
        <v>73</v>
      </c>
      <c r="H277" s="2">
        <v>82</v>
      </c>
      <c r="I277" s="2">
        <v>78</v>
      </c>
      <c r="J277" s="2">
        <v>85</v>
      </c>
      <c r="K277" s="2">
        <v>82</v>
      </c>
    </row>
    <row r="278" spans="1:11" x14ac:dyDescent="0.35">
      <c r="A278" s="2" t="s">
        <v>280</v>
      </c>
      <c r="B278" s="2" t="s">
        <v>281</v>
      </c>
      <c r="C278" s="2" t="s">
        <v>18</v>
      </c>
      <c r="D278" s="2" t="s">
        <v>247</v>
      </c>
      <c r="E278" s="2" t="s">
        <v>15</v>
      </c>
      <c r="F278" s="2">
        <v>67</v>
      </c>
      <c r="G278" s="2">
        <v>55</v>
      </c>
      <c r="H278" s="2">
        <v>61</v>
      </c>
      <c r="I278" s="2">
        <v>64</v>
      </c>
      <c r="J278" s="2">
        <v>54</v>
      </c>
      <c r="K278" s="2">
        <v>48</v>
      </c>
    </row>
    <row r="279" spans="1:11" x14ac:dyDescent="0.35">
      <c r="A279" s="2" t="s">
        <v>280</v>
      </c>
      <c r="B279" s="2" t="s">
        <v>282</v>
      </c>
      <c r="C279" s="2" t="s">
        <v>37</v>
      </c>
      <c r="D279" s="2" t="s">
        <v>247</v>
      </c>
      <c r="E279" s="2" t="s">
        <v>17</v>
      </c>
      <c r="F279" s="2">
        <v>55</v>
      </c>
      <c r="G279" s="2">
        <v>63</v>
      </c>
      <c r="H279" s="2">
        <v>51</v>
      </c>
      <c r="I279" s="2">
        <v>56</v>
      </c>
      <c r="J279" s="2">
        <v>68</v>
      </c>
      <c r="K279" s="2">
        <v>69</v>
      </c>
    </row>
    <row r="280" spans="1:11" x14ac:dyDescent="0.35">
      <c r="A280" s="2" t="s">
        <v>280</v>
      </c>
      <c r="B280" s="2" t="s">
        <v>282</v>
      </c>
      <c r="C280" s="2" t="s">
        <v>18</v>
      </c>
      <c r="D280" s="2" t="s">
        <v>247</v>
      </c>
      <c r="E280" s="2" t="s">
        <v>20</v>
      </c>
      <c r="F280" s="2">
        <v>58</v>
      </c>
      <c r="G280" s="2">
        <v>59</v>
      </c>
      <c r="H280" s="2">
        <v>49</v>
      </c>
      <c r="I280" s="2">
        <v>51</v>
      </c>
      <c r="J280" s="2">
        <v>47</v>
      </c>
      <c r="K280" s="2">
        <v>62</v>
      </c>
    </row>
    <row r="281" spans="1:11" x14ac:dyDescent="0.35">
      <c r="A281" s="2" t="s">
        <v>283</v>
      </c>
      <c r="B281" s="2" t="s">
        <v>284</v>
      </c>
      <c r="C281" s="2" t="s">
        <v>18</v>
      </c>
      <c r="D281" s="2" t="s">
        <v>275</v>
      </c>
      <c r="E281" s="2" t="s">
        <v>15</v>
      </c>
      <c r="F281" s="2">
        <v>73</v>
      </c>
      <c r="G281" s="2">
        <v>69</v>
      </c>
      <c r="H281" s="2">
        <v>63</v>
      </c>
      <c r="I281" s="2">
        <v>58</v>
      </c>
      <c r="J281" s="2">
        <v>65</v>
      </c>
      <c r="K281" s="2">
        <v>71</v>
      </c>
    </row>
    <row r="282" spans="1:11" x14ac:dyDescent="0.35">
      <c r="A282" s="2" t="s">
        <v>283</v>
      </c>
      <c r="B282" s="2" t="s">
        <v>284</v>
      </c>
      <c r="C282" s="2" t="s">
        <v>18</v>
      </c>
      <c r="D282" s="2" t="s">
        <v>247</v>
      </c>
      <c r="E282" s="2" t="s">
        <v>17</v>
      </c>
      <c r="F282" s="2">
        <v>61</v>
      </c>
      <c r="G282" s="2">
        <v>74</v>
      </c>
      <c r="H282" s="2">
        <v>65</v>
      </c>
      <c r="I282" s="2">
        <v>76</v>
      </c>
      <c r="J282" s="2">
        <v>71</v>
      </c>
      <c r="K282" s="2">
        <v>73</v>
      </c>
    </row>
    <row r="283" spans="1:11" x14ac:dyDescent="0.35">
      <c r="A283" s="2" t="s">
        <v>283</v>
      </c>
      <c r="B283" s="2" t="s">
        <v>284</v>
      </c>
      <c r="C283" s="2" t="s">
        <v>18</v>
      </c>
      <c r="D283" s="2" t="s">
        <v>247</v>
      </c>
      <c r="E283" s="2" t="s">
        <v>20</v>
      </c>
      <c r="F283" s="2">
        <v>74</v>
      </c>
      <c r="G283" s="2">
        <v>66</v>
      </c>
      <c r="H283" s="2">
        <v>67</v>
      </c>
      <c r="I283" s="2">
        <v>65</v>
      </c>
      <c r="J283" s="2">
        <v>76</v>
      </c>
      <c r="K283" s="2">
        <v>84</v>
      </c>
    </row>
    <row r="284" spans="1:11" x14ac:dyDescent="0.35">
      <c r="A284" s="2" t="s">
        <v>285</v>
      </c>
      <c r="B284" s="2" t="s">
        <v>286</v>
      </c>
      <c r="C284" s="2" t="s">
        <v>18</v>
      </c>
      <c r="D284" s="2" t="s">
        <v>247</v>
      </c>
      <c r="E284" s="2" t="s">
        <v>15</v>
      </c>
      <c r="F284" s="2">
        <v>61</v>
      </c>
      <c r="G284" s="2">
        <v>67</v>
      </c>
      <c r="H284" s="2">
        <v>67</v>
      </c>
      <c r="I284" s="2">
        <v>69</v>
      </c>
      <c r="J284" s="2">
        <v>71</v>
      </c>
      <c r="K284" s="2">
        <v>71</v>
      </c>
    </row>
    <row r="285" spans="1:11" x14ac:dyDescent="0.35">
      <c r="A285" s="2" t="s">
        <v>285</v>
      </c>
      <c r="B285" s="2" t="s">
        <v>286</v>
      </c>
      <c r="C285" s="2" t="s">
        <v>18</v>
      </c>
      <c r="D285" s="2" t="s">
        <v>247</v>
      </c>
      <c r="E285" s="2" t="s">
        <v>17</v>
      </c>
      <c r="F285" s="2">
        <v>51</v>
      </c>
      <c r="G285" s="2">
        <v>67</v>
      </c>
      <c r="H285" s="2">
        <v>68</v>
      </c>
      <c r="I285" s="2">
        <v>60</v>
      </c>
      <c r="J285" s="2">
        <v>69</v>
      </c>
      <c r="K285" s="2">
        <v>77</v>
      </c>
    </row>
    <row r="286" spans="1:11" x14ac:dyDescent="0.35">
      <c r="A286" s="2" t="s">
        <v>285</v>
      </c>
      <c r="B286" s="2" t="s">
        <v>286</v>
      </c>
      <c r="C286" s="2" t="s">
        <v>37</v>
      </c>
      <c r="D286" s="2" t="s">
        <v>247</v>
      </c>
      <c r="E286" s="2" t="s">
        <v>20</v>
      </c>
      <c r="F286" s="2">
        <v>57</v>
      </c>
      <c r="G286" s="2">
        <v>56</v>
      </c>
      <c r="H286" s="2">
        <v>64</v>
      </c>
      <c r="I286" s="2">
        <v>80</v>
      </c>
      <c r="J286" s="2">
        <v>63</v>
      </c>
      <c r="K286" s="2">
        <v>71</v>
      </c>
    </row>
    <row r="287" spans="1:11" x14ac:dyDescent="0.35">
      <c r="A287" s="2" t="s">
        <v>287</v>
      </c>
      <c r="B287" s="2" t="s">
        <v>288</v>
      </c>
      <c r="C287" s="2" t="s">
        <v>25</v>
      </c>
      <c r="D287" s="2" t="s">
        <v>247</v>
      </c>
      <c r="E287" s="2" t="s">
        <v>15</v>
      </c>
      <c r="F287" s="2">
        <v>61</v>
      </c>
      <c r="G287" s="2">
        <v>70</v>
      </c>
      <c r="H287" s="2">
        <v>72</v>
      </c>
      <c r="I287" s="2">
        <v>86</v>
      </c>
      <c r="J287" s="2">
        <v>71</v>
      </c>
      <c r="K287" s="2">
        <v>73</v>
      </c>
    </row>
    <row r="288" spans="1:11" x14ac:dyDescent="0.35">
      <c r="A288" s="2" t="s">
        <v>287</v>
      </c>
      <c r="B288" s="2" t="s">
        <v>288</v>
      </c>
      <c r="C288" s="2" t="s">
        <v>23</v>
      </c>
      <c r="D288" s="2" t="s">
        <v>247</v>
      </c>
      <c r="E288" s="2" t="s">
        <v>17</v>
      </c>
      <c r="F288" s="2">
        <v>64</v>
      </c>
      <c r="G288" s="2">
        <v>68</v>
      </c>
      <c r="H288" s="2">
        <v>63</v>
      </c>
      <c r="I288" s="2">
        <v>73</v>
      </c>
      <c r="J288" s="2">
        <v>79</v>
      </c>
      <c r="K288" s="2">
        <v>82</v>
      </c>
    </row>
    <row r="289" spans="1:11" x14ac:dyDescent="0.35">
      <c r="A289" s="2" t="s">
        <v>287</v>
      </c>
      <c r="B289" s="2" t="s">
        <v>288</v>
      </c>
      <c r="C289" s="2" t="s">
        <v>23</v>
      </c>
      <c r="D289" s="2" t="s">
        <v>247</v>
      </c>
      <c r="E289" s="2" t="s">
        <v>20</v>
      </c>
      <c r="F289" s="2">
        <v>81</v>
      </c>
      <c r="G289" s="2">
        <v>73</v>
      </c>
      <c r="H289" s="2">
        <v>72</v>
      </c>
      <c r="I289" s="2">
        <v>77</v>
      </c>
      <c r="J289" s="2">
        <v>84</v>
      </c>
      <c r="K289" s="2">
        <v>84</v>
      </c>
    </row>
    <row r="290" spans="1:11" x14ac:dyDescent="0.35">
      <c r="A290" s="2" t="s">
        <v>289</v>
      </c>
      <c r="B290" s="2" t="s">
        <v>290</v>
      </c>
      <c r="C290" s="2" t="s">
        <v>33</v>
      </c>
      <c r="D290" s="2" t="s">
        <v>247</v>
      </c>
      <c r="E290" s="2" t="s">
        <v>15</v>
      </c>
      <c r="F290" s="2">
        <v>81</v>
      </c>
      <c r="G290" s="2">
        <v>76</v>
      </c>
      <c r="H290" s="2">
        <v>86</v>
      </c>
      <c r="I290" s="2">
        <v>91</v>
      </c>
      <c r="J290" s="2">
        <v>84</v>
      </c>
      <c r="K290" s="2">
        <v>83</v>
      </c>
    </row>
    <row r="291" spans="1:11" x14ac:dyDescent="0.35">
      <c r="A291" s="2" t="s">
        <v>289</v>
      </c>
      <c r="B291" s="2" t="s">
        <v>290</v>
      </c>
      <c r="C291" s="2" t="s">
        <v>30</v>
      </c>
      <c r="D291" s="2" t="s">
        <v>247</v>
      </c>
      <c r="E291" s="2" t="s">
        <v>17</v>
      </c>
      <c r="F291" s="2">
        <v>83</v>
      </c>
      <c r="G291" s="2">
        <v>82</v>
      </c>
      <c r="H291" s="2">
        <v>98</v>
      </c>
      <c r="I291" s="2">
        <v>91</v>
      </c>
      <c r="J291" s="2">
        <v>97</v>
      </c>
      <c r="K291" s="2">
        <v>84</v>
      </c>
    </row>
    <row r="292" spans="1:11" x14ac:dyDescent="0.35">
      <c r="A292" s="2" t="s">
        <v>289</v>
      </c>
      <c r="B292" s="2" t="s">
        <v>290</v>
      </c>
      <c r="C292" s="2" t="s">
        <v>33</v>
      </c>
      <c r="D292" s="2" t="s">
        <v>247</v>
      </c>
      <c r="E292" s="2" t="s">
        <v>20</v>
      </c>
      <c r="F292" s="2">
        <v>75</v>
      </c>
      <c r="G292" s="2">
        <v>98</v>
      </c>
      <c r="H292" s="2">
        <v>95</v>
      </c>
      <c r="I292" s="2">
        <v>91</v>
      </c>
      <c r="J292" s="2">
        <v>93</v>
      </c>
      <c r="K292" s="2">
        <v>94</v>
      </c>
    </row>
    <row r="293" spans="1:11" x14ac:dyDescent="0.35">
      <c r="A293" s="2" t="s">
        <v>291</v>
      </c>
      <c r="B293" s="2" t="s">
        <v>292</v>
      </c>
      <c r="C293" s="2" t="s">
        <v>16</v>
      </c>
      <c r="D293" s="2" t="s">
        <v>247</v>
      </c>
      <c r="E293" s="2" t="s">
        <v>15</v>
      </c>
      <c r="F293" s="2">
        <v>62</v>
      </c>
      <c r="G293" s="2">
        <v>73</v>
      </c>
      <c r="H293" s="2">
        <v>54</v>
      </c>
      <c r="I293" s="2">
        <v>73</v>
      </c>
      <c r="J293" s="2">
        <v>64</v>
      </c>
      <c r="K293" s="2">
        <v>69</v>
      </c>
    </row>
    <row r="294" spans="1:11" x14ac:dyDescent="0.35">
      <c r="A294" s="2" t="s">
        <v>291</v>
      </c>
      <c r="B294" s="2" t="s">
        <v>292</v>
      </c>
      <c r="C294" s="2" t="s">
        <v>18</v>
      </c>
      <c r="D294" s="2" t="s">
        <v>256</v>
      </c>
      <c r="E294" s="2" t="s">
        <v>17</v>
      </c>
      <c r="F294" s="2">
        <v>56</v>
      </c>
      <c r="G294" s="2">
        <v>53</v>
      </c>
      <c r="H294" s="2">
        <v>81</v>
      </c>
      <c r="I294" s="2">
        <v>83</v>
      </c>
      <c r="J294" s="2">
        <v>72</v>
      </c>
      <c r="K294" s="2">
        <v>73</v>
      </c>
    </row>
    <row r="295" spans="1:11" x14ac:dyDescent="0.35">
      <c r="A295" s="2" t="s">
        <v>291</v>
      </c>
      <c r="B295" s="2" t="s">
        <v>292</v>
      </c>
      <c r="C295" s="2" t="s">
        <v>18</v>
      </c>
      <c r="D295" s="2" t="s">
        <v>247</v>
      </c>
      <c r="E295" s="2" t="s">
        <v>20</v>
      </c>
      <c r="F295" s="2">
        <v>46</v>
      </c>
      <c r="G295" s="2">
        <v>76</v>
      </c>
      <c r="H295" s="2">
        <v>57</v>
      </c>
      <c r="I295" s="2">
        <v>61</v>
      </c>
      <c r="J295" s="2">
        <v>71</v>
      </c>
      <c r="K295" s="2">
        <v>67</v>
      </c>
    </row>
    <row r="296" spans="1:11" x14ac:dyDescent="0.35">
      <c r="A296" s="2" t="s">
        <v>293</v>
      </c>
      <c r="B296" s="2" t="s">
        <v>294</v>
      </c>
      <c r="C296" s="2" t="s">
        <v>18</v>
      </c>
      <c r="D296" s="2" t="s">
        <v>247</v>
      </c>
      <c r="E296" s="2" t="s">
        <v>15</v>
      </c>
      <c r="F296" s="2">
        <v>54</v>
      </c>
      <c r="G296" s="2">
        <v>64</v>
      </c>
      <c r="H296" s="2">
        <v>61</v>
      </c>
      <c r="I296" s="2">
        <v>69</v>
      </c>
      <c r="J296" s="2">
        <v>74</v>
      </c>
      <c r="K296" s="2">
        <v>75</v>
      </c>
    </row>
    <row r="297" spans="1:11" x14ac:dyDescent="0.35">
      <c r="A297" s="2" t="s">
        <v>293</v>
      </c>
      <c r="B297" s="2" t="s">
        <v>294</v>
      </c>
      <c r="C297" s="2" t="s">
        <v>18</v>
      </c>
      <c r="D297" s="2" t="s">
        <v>247</v>
      </c>
      <c r="E297" s="2" t="s">
        <v>17</v>
      </c>
      <c r="F297" s="2">
        <v>72</v>
      </c>
      <c r="G297" s="2">
        <v>69</v>
      </c>
      <c r="H297" s="2">
        <v>74</v>
      </c>
      <c r="I297" s="2">
        <v>84</v>
      </c>
      <c r="J297" s="2">
        <v>65</v>
      </c>
      <c r="K297" s="2">
        <v>80</v>
      </c>
    </row>
    <row r="298" spans="1:11" x14ac:dyDescent="0.35">
      <c r="A298" s="2" t="s">
        <v>293</v>
      </c>
      <c r="B298" s="2" t="s">
        <v>294</v>
      </c>
      <c r="C298" s="2" t="s">
        <v>18</v>
      </c>
      <c r="D298" s="2" t="s">
        <v>247</v>
      </c>
      <c r="E298" s="2" t="s">
        <v>20</v>
      </c>
      <c r="F298" s="2">
        <v>59</v>
      </c>
      <c r="G298" s="2">
        <v>62</v>
      </c>
      <c r="H298" s="2">
        <v>82</v>
      </c>
      <c r="I298" s="2">
        <v>84</v>
      </c>
      <c r="J298" s="2">
        <v>80</v>
      </c>
      <c r="K298" s="2">
        <v>75</v>
      </c>
    </row>
    <row r="299" spans="1:11" x14ac:dyDescent="0.35">
      <c r="A299" s="2" t="s">
        <v>295</v>
      </c>
      <c r="B299" s="2" t="s">
        <v>296</v>
      </c>
      <c r="C299" s="2" t="s">
        <v>23</v>
      </c>
      <c r="D299" s="2" t="s">
        <v>247</v>
      </c>
      <c r="E299" s="2" t="s">
        <v>15</v>
      </c>
      <c r="F299" s="2">
        <v>73</v>
      </c>
      <c r="G299" s="2">
        <v>59</v>
      </c>
      <c r="H299" s="2">
        <v>67</v>
      </c>
      <c r="I299" s="2">
        <v>75</v>
      </c>
      <c r="J299" s="2">
        <v>81</v>
      </c>
      <c r="K299" s="2">
        <v>64</v>
      </c>
    </row>
    <row r="300" spans="1:11" x14ac:dyDescent="0.35">
      <c r="A300" s="2" t="s">
        <v>295</v>
      </c>
      <c r="B300" s="2" t="s">
        <v>296</v>
      </c>
      <c r="C300" s="2" t="s">
        <v>23</v>
      </c>
      <c r="D300" s="2" t="s">
        <v>247</v>
      </c>
      <c r="E300" s="2" t="s">
        <v>17</v>
      </c>
      <c r="F300" s="2">
        <v>46</v>
      </c>
      <c r="G300" s="2">
        <v>75</v>
      </c>
      <c r="H300" s="2">
        <v>74</v>
      </c>
      <c r="I300" s="2">
        <v>78</v>
      </c>
      <c r="J300" s="2">
        <v>72</v>
      </c>
      <c r="K300" s="2">
        <v>80</v>
      </c>
    </row>
    <row r="301" spans="1:11" x14ac:dyDescent="0.35">
      <c r="A301" s="2" t="s">
        <v>295</v>
      </c>
      <c r="B301" s="2" t="s">
        <v>296</v>
      </c>
      <c r="C301" s="2" t="s">
        <v>23</v>
      </c>
      <c r="D301" s="2" t="s">
        <v>247</v>
      </c>
      <c r="E301" s="2" t="s">
        <v>20</v>
      </c>
      <c r="F301" s="2">
        <v>63</v>
      </c>
      <c r="G301" s="2">
        <v>82</v>
      </c>
      <c r="H301" s="2">
        <v>84</v>
      </c>
      <c r="I301" s="2">
        <v>77</v>
      </c>
      <c r="J301" s="2">
        <v>70</v>
      </c>
      <c r="K301" s="2">
        <v>85</v>
      </c>
    </row>
    <row r="302" spans="1:11" x14ac:dyDescent="0.35">
      <c r="A302" s="2" t="s">
        <v>297</v>
      </c>
      <c r="B302" s="2" t="s">
        <v>298</v>
      </c>
      <c r="C302" s="2" t="s">
        <v>23</v>
      </c>
      <c r="D302" s="2" t="s">
        <v>247</v>
      </c>
      <c r="E302" s="2" t="s">
        <v>15</v>
      </c>
      <c r="F302" s="2">
        <v>46</v>
      </c>
      <c r="G302" s="2">
        <v>53</v>
      </c>
      <c r="H302" s="2">
        <v>61</v>
      </c>
      <c r="I302" s="2">
        <v>58</v>
      </c>
      <c r="J302" s="2">
        <v>72</v>
      </c>
      <c r="K302" s="2">
        <v>62</v>
      </c>
    </row>
    <row r="303" spans="1:11" x14ac:dyDescent="0.35">
      <c r="A303" s="2" t="s">
        <v>297</v>
      </c>
      <c r="B303" s="2" t="s">
        <v>298</v>
      </c>
      <c r="C303" s="2" t="s">
        <v>23</v>
      </c>
      <c r="D303" s="2" t="s">
        <v>247</v>
      </c>
      <c r="E303" s="2" t="s">
        <v>17</v>
      </c>
      <c r="F303" s="2">
        <v>45</v>
      </c>
      <c r="G303" s="2">
        <v>67</v>
      </c>
      <c r="H303" s="2">
        <v>56</v>
      </c>
      <c r="I303" s="2">
        <v>58</v>
      </c>
      <c r="J303" s="2">
        <v>65</v>
      </c>
      <c r="K303" s="2">
        <v>65</v>
      </c>
    </row>
    <row r="304" spans="1:11" x14ac:dyDescent="0.35">
      <c r="A304" s="2" t="s">
        <v>297</v>
      </c>
      <c r="B304" s="2" t="s">
        <v>299</v>
      </c>
      <c r="C304" s="2" t="s">
        <v>23</v>
      </c>
      <c r="D304" s="2" t="s">
        <v>300</v>
      </c>
      <c r="E304" s="2" t="s">
        <v>20</v>
      </c>
      <c r="F304" s="2">
        <v>47</v>
      </c>
      <c r="G304" s="2">
        <v>58</v>
      </c>
      <c r="H304" s="2">
        <v>70</v>
      </c>
      <c r="I304" s="2">
        <v>68</v>
      </c>
      <c r="J304" s="2">
        <v>72</v>
      </c>
      <c r="K304" s="2">
        <v>77</v>
      </c>
    </row>
    <row r="305" spans="1:11" x14ac:dyDescent="0.35">
      <c r="A305" s="2" t="s">
        <v>301</v>
      </c>
      <c r="B305" s="2" t="s">
        <v>302</v>
      </c>
      <c r="C305" s="2" t="s">
        <v>23</v>
      </c>
      <c r="D305" s="2" t="s">
        <v>247</v>
      </c>
      <c r="E305" s="2" t="s">
        <v>15</v>
      </c>
      <c r="F305" s="2">
        <v>58</v>
      </c>
      <c r="G305" s="2">
        <v>47</v>
      </c>
      <c r="H305" s="2">
        <v>45</v>
      </c>
      <c r="I305" s="2">
        <v>48</v>
      </c>
      <c r="J305" s="2">
        <v>52</v>
      </c>
      <c r="K305" s="2">
        <v>51</v>
      </c>
    </row>
    <row r="306" spans="1:11" x14ac:dyDescent="0.35">
      <c r="A306" s="2" t="s">
        <v>301</v>
      </c>
      <c r="B306" s="2" t="s">
        <v>303</v>
      </c>
      <c r="C306" s="2" t="s">
        <v>23</v>
      </c>
      <c r="D306" s="2" t="s">
        <v>247</v>
      </c>
      <c r="E306" s="2" t="s">
        <v>17</v>
      </c>
      <c r="F306" s="2">
        <v>54</v>
      </c>
      <c r="G306" s="2">
        <v>60</v>
      </c>
      <c r="H306" s="2">
        <v>63</v>
      </c>
      <c r="I306" s="2">
        <v>55</v>
      </c>
      <c r="J306" s="2">
        <v>60</v>
      </c>
      <c r="K306" s="2">
        <v>69</v>
      </c>
    </row>
    <row r="307" spans="1:11" x14ac:dyDescent="0.35">
      <c r="A307" s="2" t="s">
        <v>301</v>
      </c>
      <c r="B307" s="2" t="s">
        <v>302</v>
      </c>
      <c r="C307" s="2" t="s">
        <v>23</v>
      </c>
      <c r="D307" s="2" t="s">
        <v>247</v>
      </c>
      <c r="E307" s="2" t="s">
        <v>20</v>
      </c>
      <c r="F307" s="2">
        <v>68</v>
      </c>
      <c r="G307" s="2">
        <v>53</v>
      </c>
      <c r="H307" s="2">
        <v>63</v>
      </c>
      <c r="I307" s="2">
        <v>71</v>
      </c>
      <c r="J307" s="2">
        <v>59</v>
      </c>
      <c r="K307" s="2">
        <v>79</v>
      </c>
    </row>
    <row r="308" spans="1:11" x14ac:dyDescent="0.35">
      <c r="A308" s="2" t="s">
        <v>304</v>
      </c>
      <c r="B308" s="2" t="s">
        <v>305</v>
      </c>
      <c r="C308" s="2" t="s">
        <v>23</v>
      </c>
      <c r="D308" s="2" t="s">
        <v>247</v>
      </c>
      <c r="E308" s="2" t="s">
        <v>15</v>
      </c>
      <c r="F308" s="2">
        <v>45</v>
      </c>
      <c r="G308" s="2">
        <v>29</v>
      </c>
      <c r="H308" s="2">
        <v>30</v>
      </c>
      <c r="I308" s="2">
        <v>52</v>
      </c>
      <c r="J308" s="2">
        <v>54</v>
      </c>
      <c r="K308" s="2">
        <v>40</v>
      </c>
    </row>
    <row r="309" spans="1:11" x14ac:dyDescent="0.35">
      <c r="A309" s="2" t="s">
        <v>304</v>
      </c>
      <c r="B309" s="2" t="s">
        <v>305</v>
      </c>
      <c r="C309" s="2" t="s">
        <v>23</v>
      </c>
      <c r="D309" s="2" t="s">
        <v>247</v>
      </c>
      <c r="E309" s="2" t="s">
        <v>17</v>
      </c>
      <c r="F309" s="2">
        <v>25</v>
      </c>
      <c r="G309" s="2">
        <v>43</v>
      </c>
      <c r="H309" s="2">
        <v>35</v>
      </c>
      <c r="I309" s="2">
        <v>38</v>
      </c>
      <c r="J309" s="2">
        <v>54</v>
      </c>
      <c r="K309" s="2">
        <v>46</v>
      </c>
    </row>
    <row r="310" spans="1:11" x14ac:dyDescent="0.35">
      <c r="A310" s="2" t="s">
        <v>304</v>
      </c>
      <c r="B310" s="2" t="s">
        <v>306</v>
      </c>
      <c r="C310" s="2" t="s">
        <v>23</v>
      </c>
      <c r="D310" s="2" t="s">
        <v>247</v>
      </c>
      <c r="E310" s="2" t="s">
        <v>20</v>
      </c>
      <c r="F310" s="2">
        <v>15</v>
      </c>
      <c r="G310" s="2">
        <v>36</v>
      </c>
      <c r="H310" s="2">
        <v>22</v>
      </c>
      <c r="I310" s="2">
        <v>42</v>
      </c>
      <c r="J310" s="2">
        <v>45</v>
      </c>
      <c r="K310" s="2">
        <v>43</v>
      </c>
    </row>
    <row r="311" spans="1:11" x14ac:dyDescent="0.35">
      <c r="A311" s="2" t="s">
        <v>307</v>
      </c>
      <c r="B311" s="2" t="s">
        <v>308</v>
      </c>
      <c r="C311" s="2" t="s">
        <v>23</v>
      </c>
      <c r="D311" s="2" t="s">
        <v>247</v>
      </c>
      <c r="E311" s="2" t="s">
        <v>15</v>
      </c>
      <c r="F311" s="2">
        <v>39</v>
      </c>
      <c r="G311" s="2">
        <v>52</v>
      </c>
      <c r="H311" s="2">
        <v>42</v>
      </c>
      <c r="I311" s="2">
        <v>39</v>
      </c>
      <c r="J311" s="2">
        <v>35</v>
      </c>
      <c r="K311" s="2">
        <v>46</v>
      </c>
    </row>
    <row r="312" spans="1:11" x14ac:dyDescent="0.35">
      <c r="A312" s="2" t="s">
        <v>307</v>
      </c>
      <c r="B312" s="2" t="s">
        <v>309</v>
      </c>
      <c r="C312" s="2" t="s">
        <v>23</v>
      </c>
      <c r="D312" s="2" t="s">
        <v>247</v>
      </c>
      <c r="E312" s="2" t="s">
        <v>17</v>
      </c>
      <c r="F312" s="2">
        <v>24</v>
      </c>
      <c r="G312" s="2">
        <v>28</v>
      </c>
      <c r="H312" s="2">
        <v>32</v>
      </c>
      <c r="I312" s="2">
        <v>28</v>
      </c>
      <c r="J312" s="2">
        <v>32</v>
      </c>
      <c r="K312" s="2">
        <v>47</v>
      </c>
    </row>
    <row r="313" spans="1:11" x14ac:dyDescent="0.35">
      <c r="A313" s="2" t="s">
        <v>307</v>
      </c>
      <c r="B313" s="2" t="s">
        <v>308</v>
      </c>
      <c r="C313" s="2" t="s">
        <v>23</v>
      </c>
      <c r="D313" s="2" t="s">
        <v>247</v>
      </c>
      <c r="E313" s="2" t="s">
        <v>20</v>
      </c>
      <c r="F313" s="2">
        <v>27</v>
      </c>
      <c r="G313" s="2">
        <v>34</v>
      </c>
      <c r="H313" s="2">
        <v>34</v>
      </c>
      <c r="I313" s="2">
        <v>26</v>
      </c>
      <c r="J313" s="2">
        <v>42</v>
      </c>
      <c r="K313" s="2">
        <v>42</v>
      </c>
    </row>
    <row r="314" spans="1:11" x14ac:dyDescent="0.35">
      <c r="A314" s="2" t="s">
        <v>310</v>
      </c>
      <c r="B314" s="2" t="s">
        <v>311</v>
      </c>
      <c r="C314" s="2" t="s">
        <v>16</v>
      </c>
      <c r="D314" s="2" t="s">
        <v>247</v>
      </c>
      <c r="E314" s="2" t="s">
        <v>15</v>
      </c>
      <c r="F314" s="2">
        <v>39</v>
      </c>
      <c r="G314" s="2" t="s">
        <v>206</v>
      </c>
      <c r="H314" s="2">
        <v>28</v>
      </c>
      <c r="I314" s="2">
        <v>61</v>
      </c>
      <c r="J314" s="2">
        <v>47</v>
      </c>
      <c r="K314" s="2">
        <v>41</v>
      </c>
    </row>
    <row r="315" spans="1:11" x14ac:dyDescent="0.35">
      <c r="A315" s="2" t="s">
        <v>310</v>
      </c>
      <c r="B315" s="2" t="s">
        <v>311</v>
      </c>
      <c r="C315" s="2" t="s">
        <v>13</v>
      </c>
      <c r="D315" s="2" t="s">
        <v>275</v>
      </c>
      <c r="E315" s="2" t="s">
        <v>17</v>
      </c>
      <c r="F315" s="2">
        <v>49</v>
      </c>
      <c r="G315" s="2">
        <v>45</v>
      </c>
      <c r="H315" s="2">
        <v>52</v>
      </c>
      <c r="I315" s="2">
        <v>61</v>
      </c>
      <c r="J315" s="2">
        <v>49</v>
      </c>
      <c r="K315" s="2">
        <v>66</v>
      </c>
    </row>
    <row r="316" spans="1:11" x14ac:dyDescent="0.35">
      <c r="A316" s="2" t="s">
        <v>310</v>
      </c>
      <c r="B316" s="2" t="s">
        <v>311</v>
      </c>
      <c r="C316" s="2" t="s">
        <v>18</v>
      </c>
      <c r="D316" s="2" t="s">
        <v>300</v>
      </c>
      <c r="E316" s="2" t="s">
        <v>20</v>
      </c>
      <c r="F316" s="2">
        <v>58</v>
      </c>
      <c r="G316" s="2">
        <v>65</v>
      </c>
      <c r="H316" s="2">
        <v>64</v>
      </c>
      <c r="I316" s="2">
        <v>69</v>
      </c>
      <c r="J316" s="2">
        <v>75</v>
      </c>
      <c r="K316" s="2">
        <v>75</v>
      </c>
    </row>
    <row r="317" spans="1:11" x14ac:dyDescent="0.35">
      <c r="A317" s="2" t="s">
        <v>312</v>
      </c>
      <c r="B317" s="2" t="s">
        <v>313</v>
      </c>
      <c r="C317" s="2" t="s">
        <v>23</v>
      </c>
      <c r="D317" s="2" t="s">
        <v>247</v>
      </c>
      <c r="E317" s="2" t="s">
        <v>15</v>
      </c>
      <c r="F317" s="2">
        <v>52</v>
      </c>
      <c r="G317" s="2">
        <v>49</v>
      </c>
      <c r="H317" s="2">
        <v>55</v>
      </c>
      <c r="I317" s="2">
        <v>54</v>
      </c>
      <c r="J317" s="2">
        <v>48</v>
      </c>
      <c r="K317" s="2">
        <v>60</v>
      </c>
    </row>
    <row r="318" spans="1:11" x14ac:dyDescent="0.35">
      <c r="A318" s="2" t="s">
        <v>312</v>
      </c>
      <c r="B318" s="2" t="s">
        <v>314</v>
      </c>
      <c r="C318" s="2" t="s">
        <v>23</v>
      </c>
      <c r="D318" s="2" t="s">
        <v>247</v>
      </c>
      <c r="E318" s="2" t="s">
        <v>17</v>
      </c>
      <c r="F318" s="2">
        <v>39</v>
      </c>
      <c r="G318" s="2">
        <v>60</v>
      </c>
      <c r="H318" s="2">
        <v>50</v>
      </c>
      <c r="I318" s="2">
        <v>55</v>
      </c>
      <c r="J318" s="2">
        <v>61</v>
      </c>
      <c r="K318" s="2">
        <v>55</v>
      </c>
    </row>
    <row r="319" spans="1:11" x14ac:dyDescent="0.35">
      <c r="A319" s="2" t="s">
        <v>312</v>
      </c>
      <c r="B319" s="2" t="s">
        <v>314</v>
      </c>
      <c r="C319" s="2" t="s">
        <v>30</v>
      </c>
      <c r="D319" s="2" t="s">
        <v>247</v>
      </c>
      <c r="E319" s="2" t="s">
        <v>20</v>
      </c>
      <c r="F319" s="2">
        <v>41</v>
      </c>
      <c r="G319" s="2">
        <v>57</v>
      </c>
      <c r="H319" s="2">
        <v>37</v>
      </c>
      <c r="I319" s="2">
        <v>46</v>
      </c>
      <c r="J319" s="2">
        <v>52</v>
      </c>
      <c r="K319" s="2">
        <v>61</v>
      </c>
    </row>
    <row r="320" spans="1:11" x14ac:dyDescent="0.35">
      <c r="A320" s="2" t="s">
        <v>315</v>
      </c>
      <c r="B320" s="2" t="s">
        <v>316</v>
      </c>
      <c r="C320" s="2" t="s">
        <v>37</v>
      </c>
      <c r="D320" s="2" t="s">
        <v>247</v>
      </c>
      <c r="E320" s="2" t="s">
        <v>15</v>
      </c>
      <c r="F320" s="2">
        <v>68</v>
      </c>
      <c r="G320" s="2">
        <v>64</v>
      </c>
      <c r="H320" s="2">
        <v>63</v>
      </c>
      <c r="I320" s="2">
        <v>87</v>
      </c>
      <c r="J320" s="2">
        <v>78</v>
      </c>
      <c r="K320" s="2">
        <v>74</v>
      </c>
    </row>
    <row r="321" spans="1:11" x14ac:dyDescent="0.35">
      <c r="A321" s="2" t="s">
        <v>315</v>
      </c>
      <c r="B321" s="2" t="s">
        <v>317</v>
      </c>
      <c r="C321" s="2" t="s">
        <v>18</v>
      </c>
      <c r="D321" s="2" t="s">
        <v>247</v>
      </c>
      <c r="E321" s="2" t="s">
        <v>17</v>
      </c>
      <c r="F321" s="2">
        <v>62</v>
      </c>
      <c r="G321" s="2">
        <v>98</v>
      </c>
      <c r="H321" s="2">
        <v>79</v>
      </c>
      <c r="I321" s="2">
        <v>63</v>
      </c>
      <c r="J321" s="2">
        <v>73</v>
      </c>
      <c r="K321" s="2">
        <v>83</v>
      </c>
    </row>
    <row r="322" spans="1:11" x14ac:dyDescent="0.35">
      <c r="A322" s="2" t="s">
        <v>315</v>
      </c>
      <c r="B322" s="2" t="s">
        <v>317</v>
      </c>
      <c r="C322" s="2" t="s">
        <v>18</v>
      </c>
      <c r="D322" s="2" t="s">
        <v>247</v>
      </c>
      <c r="E322" s="2" t="s">
        <v>20</v>
      </c>
      <c r="F322" s="2">
        <v>64</v>
      </c>
      <c r="G322" s="2">
        <v>80</v>
      </c>
      <c r="H322" s="2">
        <v>82</v>
      </c>
      <c r="I322" s="2">
        <v>75</v>
      </c>
      <c r="J322" s="2">
        <v>78</v>
      </c>
      <c r="K322" s="2">
        <v>77</v>
      </c>
    </row>
    <row r="323" spans="1:11" x14ac:dyDescent="0.35">
      <c r="A323" s="2" t="s">
        <v>318</v>
      </c>
      <c r="B323" s="2" t="s">
        <v>319</v>
      </c>
      <c r="C323" s="2" t="s">
        <v>18</v>
      </c>
      <c r="D323" s="2" t="s">
        <v>247</v>
      </c>
      <c r="E323" s="2" t="s">
        <v>15</v>
      </c>
      <c r="F323" s="2">
        <v>44</v>
      </c>
      <c r="G323" s="2">
        <v>54</v>
      </c>
      <c r="H323" s="2">
        <v>48</v>
      </c>
      <c r="I323" s="2">
        <v>39</v>
      </c>
      <c r="J323" s="2">
        <v>53</v>
      </c>
      <c r="K323" s="2">
        <v>46</v>
      </c>
    </row>
    <row r="324" spans="1:11" x14ac:dyDescent="0.35">
      <c r="A324" s="2" t="s">
        <v>318</v>
      </c>
      <c r="B324" s="2" t="s">
        <v>319</v>
      </c>
      <c r="C324" s="2" t="s">
        <v>18</v>
      </c>
      <c r="D324" s="2" t="s">
        <v>264</v>
      </c>
      <c r="E324" s="2" t="s">
        <v>17</v>
      </c>
      <c r="F324" s="2">
        <v>55</v>
      </c>
      <c r="G324" s="2">
        <v>52</v>
      </c>
      <c r="H324" s="2">
        <v>54</v>
      </c>
      <c r="I324" s="2">
        <v>52</v>
      </c>
      <c r="J324" s="2">
        <v>52</v>
      </c>
      <c r="K324" s="2">
        <v>58</v>
      </c>
    </row>
    <row r="325" spans="1:11" x14ac:dyDescent="0.35">
      <c r="A325" s="2" t="s">
        <v>318</v>
      </c>
      <c r="B325" s="2" t="s">
        <v>319</v>
      </c>
      <c r="C325" s="2" t="s">
        <v>18</v>
      </c>
      <c r="D325" s="2" t="s">
        <v>247</v>
      </c>
      <c r="E325" s="2" t="s">
        <v>20</v>
      </c>
      <c r="F325" s="2">
        <v>48</v>
      </c>
      <c r="G325" s="2">
        <v>65</v>
      </c>
      <c r="H325" s="2">
        <v>44</v>
      </c>
      <c r="I325" s="2">
        <v>62</v>
      </c>
      <c r="J325" s="2">
        <v>54</v>
      </c>
      <c r="K325" s="2">
        <v>66</v>
      </c>
    </row>
    <row r="326" spans="1:11" x14ac:dyDescent="0.35">
      <c r="A326" s="2" t="s">
        <v>320</v>
      </c>
      <c r="B326" s="2" t="s">
        <v>321</v>
      </c>
      <c r="C326" s="2" t="s">
        <v>16</v>
      </c>
      <c r="D326" s="2" t="s">
        <v>247</v>
      </c>
      <c r="E326" s="2" t="s">
        <v>15</v>
      </c>
      <c r="F326" s="2">
        <v>47</v>
      </c>
      <c r="G326" s="2">
        <v>75</v>
      </c>
      <c r="H326" s="2">
        <v>62</v>
      </c>
      <c r="I326" s="2">
        <v>60</v>
      </c>
      <c r="J326" s="2">
        <v>75</v>
      </c>
      <c r="K326" s="2">
        <v>71</v>
      </c>
    </row>
    <row r="327" spans="1:11" x14ac:dyDescent="0.35">
      <c r="A327" s="2" t="s">
        <v>320</v>
      </c>
      <c r="B327" s="2" t="s">
        <v>321</v>
      </c>
      <c r="C327" s="2" t="s">
        <v>16</v>
      </c>
      <c r="D327" s="2" t="s">
        <v>275</v>
      </c>
      <c r="E327" s="2" t="s">
        <v>17</v>
      </c>
      <c r="F327" s="2">
        <v>62</v>
      </c>
      <c r="G327" s="2">
        <v>75</v>
      </c>
      <c r="H327" s="2">
        <v>57</v>
      </c>
      <c r="I327" s="2">
        <v>64</v>
      </c>
      <c r="J327" s="2">
        <v>71</v>
      </c>
      <c r="K327" s="2">
        <v>76</v>
      </c>
    </row>
    <row r="328" spans="1:11" x14ac:dyDescent="0.35">
      <c r="A328" s="2" t="s">
        <v>320</v>
      </c>
      <c r="B328" s="2" t="s">
        <v>321</v>
      </c>
      <c r="C328" s="2" t="s">
        <v>18</v>
      </c>
      <c r="D328" s="2" t="s">
        <v>247</v>
      </c>
      <c r="E328" s="2" t="s">
        <v>20</v>
      </c>
      <c r="F328" s="2">
        <v>56</v>
      </c>
      <c r="G328" s="2">
        <v>61</v>
      </c>
      <c r="H328" s="2">
        <v>70</v>
      </c>
      <c r="I328" s="2">
        <v>77</v>
      </c>
      <c r="J328" s="2">
        <v>81</v>
      </c>
      <c r="K328" s="2">
        <v>71</v>
      </c>
    </row>
    <row r="329" spans="1:11" x14ac:dyDescent="0.35">
      <c r="A329" s="2" t="s">
        <v>322</v>
      </c>
      <c r="B329" s="2" t="s">
        <v>323</v>
      </c>
      <c r="C329" s="2" t="s">
        <v>18</v>
      </c>
      <c r="D329" s="2" t="s">
        <v>264</v>
      </c>
      <c r="E329" s="2" t="s">
        <v>15</v>
      </c>
      <c r="F329" s="2">
        <v>51</v>
      </c>
      <c r="G329" s="2">
        <v>79</v>
      </c>
      <c r="H329" s="2">
        <v>79</v>
      </c>
      <c r="I329" s="2">
        <v>68</v>
      </c>
      <c r="J329" s="2">
        <v>80</v>
      </c>
      <c r="K329" s="2">
        <v>83</v>
      </c>
    </row>
    <row r="330" spans="1:11" x14ac:dyDescent="0.35">
      <c r="A330" s="2" t="s">
        <v>322</v>
      </c>
      <c r="B330" s="2" t="s">
        <v>323</v>
      </c>
      <c r="C330" s="2" t="s">
        <v>18</v>
      </c>
      <c r="D330" s="2" t="s">
        <v>247</v>
      </c>
      <c r="E330" s="2" t="s">
        <v>17</v>
      </c>
      <c r="F330" s="2">
        <v>74</v>
      </c>
      <c r="G330" s="2">
        <v>75</v>
      </c>
      <c r="H330" s="2">
        <v>76</v>
      </c>
      <c r="I330" s="2">
        <v>85</v>
      </c>
      <c r="J330" s="2">
        <v>69</v>
      </c>
      <c r="K330" s="2">
        <v>90</v>
      </c>
    </row>
    <row r="331" spans="1:11" x14ac:dyDescent="0.35">
      <c r="A331" s="2" t="s">
        <v>322</v>
      </c>
      <c r="B331" s="2" t="s">
        <v>323</v>
      </c>
      <c r="C331" s="2" t="s">
        <v>18</v>
      </c>
      <c r="D331" s="2" t="s">
        <v>247</v>
      </c>
      <c r="E331" s="2" t="s">
        <v>20</v>
      </c>
      <c r="F331" s="2">
        <v>72</v>
      </c>
      <c r="G331" s="2">
        <v>86</v>
      </c>
      <c r="H331" s="2">
        <v>73</v>
      </c>
      <c r="I331" s="2">
        <v>71</v>
      </c>
      <c r="J331" s="2">
        <v>93</v>
      </c>
      <c r="K331" s="2">
        <v>98</v>
      </c>
    </row>
    <row r="332" spans="1:11" x14ac:dyDescent="0.35">
      <c r="A332" s="2" t="s">
        <v>324</v>
      </c>
      <c r="B332" s="2" t="s">
        <v>325</v>
      </c>
      <c r="C332" s="2" t="s">
        <v>37</v>
      </c>
      <c r="D332" s="2" t="s">
        <v>247</v>
      </c>
      <c r="E332" s="2" t="s">
        <v>15</v>
      </c>
      <c r="F332" s="2">
        <v>59</v>
      </c>
      <c r="G332" s="2">
        <v>69</v>
      </c>
      <c r="H332" s="2">
        <v>77</v>
      </c>
      <c r="I332" s="2">
        <v>74</v>
      </c>
      <c r="J332" s="2">
        <v>87</v>
      </c>
      <c r="K332" s="2">
        <v>78</v>
      </c>
    </row>
    <row r="333" spans="1:11" x14ac:dyDescent="0.35">
      <c r="A333" s="2" t="s">
        <v>324</v>
      </c>
      <c r="B333" s="2" t="s">
        <v>325</v>
      </c>
      <c r="C333" s="2" t="s">
        <v>18</v>
      </c>
      <c r="D333" s="2" t="s">
        <v>256</v>
      </c>
      <c r="E333" s="2" t="s">
        <v>17</v>
      </c>
      <c r="F333" s="2">
        <v>72</v>
      </c>
      <c r="G333" s="2">
        <v>83</v>
      </c>
      <c r="H333" s="2">
        <v>64</v>
      </c>
      <c r="I333" s="2">
        <v>82</v>
      </c>
      <c r="J333" s="2">
        <v>98</v>
      </c>
      <c r="K333" s="2">
        <v>92</v>
      </c>
    </row>
    <row r="334" spans="1:11" x14ac:dyDescent="0.35">
      <c r="A334" s="2" t="s">
        <v>324</v>
      </c>
      <c r="B334" s="2" t="s">
        <v>325</v>
      </c>
      <c r="C334" s="2" t="s">
        <v>18</v>
      </c>
      <c r="D334" s="2" t="s">
        <v>247</v>
      </c>
      <c r="E334" s="2" t="s">
        <v>20</v>
      </c>
      <c r="F334" s="2">
        <v>72</v>
      </c>
      <c r="G334" s="2">
        <v>93</v>
      </c>
      <c r="H334" s="2">
        <v>98</v>
      </c>
      <c r="I334" s="2">
        <v>97</v>
      </c>
      <c r="J334" s="2">
        <v>85</v>
      </c>
      <c r="K334" s="2">
        <v>87</v>
      </c>
    </row>
    <row r="335" spans="1:11" x14ac:dyDescent="0.35">
      <c r="A335" s="2" t="s">
        <v>326</v>
      </c>
      <c r="B335" s="2" t="s">
        <v>327</v>
      </c>
      <c r="C335" s="2" t="s">
        <v>30</v>
      </c>
      <c r="D335" s="2" t="s">
        <v>247</v>
      </c>
      <c r="E335" s="2" t="s">
        <v>15</v>
      </c>
      <c r="F335" s="2">
        <v>69</v>
      </c>
      <c r="G335" s="2">
        <v>70</v>
      </c>
      <c r="H335" s="2">
        <v>75</v>
      </c>
      <c r="I335" s="2">
        <v>73</v>
      </c>
      <c r="J335" s="2">
        <v>75</v>
      </c>
      <c r="K335" s="2">
        <v>85</v>
      </c>
    </row>
    <row r="336" spans="1:11" x14ac:dyDescent="0.35">
      <c r="A336" s="2" t="s">
        <v>326</v>
      </c>
      <c r="B336" s="2" t="s">
        <v>327</v>
      </c>
      <c r="C336" s="2" t="s">
        <v>33</v>
      </c>
      <c r="D336" s="2" t="s">
        <v>247</v>
      </c>
      <c r="E336" s="2" t="s">
        <v>17</v>
      </c>
      <c r="F336" s="2">
        <v>70</v>
      </c>
      <c r="G336" s="2">
        <v>78</v>
      </c>
      <c r="H336" s="2">
        <v>93</v>
      </c>
      <c r="I336" s="2">
        <v>85</v>
      </c>
      <c r="J336" s="2">
        <v>92</v>
      </c>
      <c r="K336" s="2">
        <v>89</v>
      </c>
    </row>
    <row r="337" spans="1:11" x14ac:dyDescent="0.35">
      <c r="A337" s="2" t="s">
        <v>326</v>
      </c>
      <c r="B337" s="2" t="s">
        <v>327</v>
      </c>
      <c r="C337" s="2" t="s">
        <v>23</v>
      </c>
      <c r="D337" s="2" t="s">
        <v>247</v>
      </c>
      <c r="E337" s="2" t="s">
        <v>20</v>
      </c>
      <c r="F337" s="2">
        <v>80</v>
      </c>
      <c r="G337" s="2">
        <v>73</v>
      </c>
      <c r="H337" s="2">
        <v>76</v>
      </c>
      <c r="I337" s="2">
        <v>83</v>
      </c>
      <c r="J337" s="2">
        <v>83</v>
      </c>
      <c r="K337" s="2">
        <v>87</v>
      </c>
    </row>
    <row r="338" spans="1:11" x14ac:dyDescent="0.35">
      <c r="A338" s="2" t="s">
        <v>328</v>
      </c>
      <c r="B338" s="2" t="s">
        <v>329</v>
      </c>
      <c r="C338" s="2" t="s">
        <v>18</v>
      </c>
      <c r="D338" s="2" t="s">
        <v>247</v>
      </c>
      <c r="E338" s="2" t="s">
        <v>15</v>
      </c>
      <c r="F338" s="2">
        <v>39</v>
      </c>
      <c r="G338" s="2">
        <v>42</v>
      </c>
      <c r="H338" s="2">
        <v>47</v>
      </c>
      <c r="I338" s="2" t="s">
        <v>330</v>
      </c>
      <c r="J338" s="2">
        <v>55</v>
      </c>
      <c r="K338" s="2">
        <v>50</v>
      </c>
    </row>
    <row r="339" spans="1:11" x14ac:dyDescent="0.35">
      <c r="A339" s="2" t="s">
        <v>328</v>
      </c>
      <c r="B339" s="2" t="s">
        <v>329</v>
      </c>
      <c r="C339" s="2" t="s">
        <v>18</v>
      </c>
      <c r="D339" s="2" t="s">
        <v>247</v>
      </c>
      <c r="E339" s="2" t="s">
        <v>17</v>
      </c>
      <c r="F339" s="2">
        <v>44</v>
      </c>
      <c r="G339" s="2">
        <v>46</v>
      </c>
      <c r="H339" s="2">
        <v>47</v>
      </c>
      <c r="I339" s="2">
        <v>56</v>
      </c>
      <c r="J339" s="2">
        <v>67</v>
      </c>
      <c r="K339" s="2">
        <v>52</v>
      </c>
    </row>
    <row r="340" spans="1:11" x14ac:dyDescent="0.35">
      <c r="A340" s="2" t="s">
        <v>328</v>
      </c>
      <c r="B340" s="2" t="s">
        <v>329</v>
      </c>
      <c r="C340" s="2" t="s">
        <v>18</v>
      </c>
      <c r="D340" s="2" t="s">
        <v>247</v>
      </c>
      <c r="E340" s="2" t="s">
        <v>20</v>
      </c>
      <c r="F340" s="2">
        <v>66</v>
      </c>
      <c r="G340" s="2">
        <v>64</v>
      </c>
      <c r="H340" s="2">
        <v>57</v>
      </c>
      <c r="I340" s="2">
        <v>59</v>
      </c>
      <c r="J340" s="2">
        <v>73</v>
      </c>
      <c r="K340" s="2">
        <v>58</v>
      </c>
    </row>
    <row r="341" spans="1:11" x14ac:dyDescent="0.35">
      <c r="A341" s="2" t="s">
        <v>331</v>
      </c>
      <c r="B341" s="2" t="s">
        <v>332</v>
      </c>
      <c r="C341" s="2" t="s">
        <v>23</v>
      </c>
      <c r="D341" s="2" t="s">
        <v>300</v>
      </c>
      <c r="E341" s="2" t="s">
        <v>15</v>
      </c>
      <c r="F341" s="2">
        <v>43</v>
      </c>
      <c r="G341" s="2">
        <v>49</v>
      </c>
      <c r="H341" s="2">
        <v>49</v>
      </c>
      <c r="I341" s="2">
        <v>59</v>
      </c>
      <c r="J341" s="2">
        <v>52</v>
      </c>
      <c r="K341" s="2">
        <v>59</v>
      </c>
    </row>
    <row r="342" spans="1:11" x14ac:dyDescent="0.35">
      <c r="A342" s="2" t="s">
        <v>331</v>
      </c>
      <c r="B342" s="2" t="s">
        <v>332</v>
      </c>
      <c r="C342" s="2" t="s">
        <v>23</v>
      </c>
      <c r="D342" s="2" t="s">
        <v>247</v>
      </c>
      <c r="E342" s="2" t="s">
        <v>17</v>
      </c>
      <c r="F342" s="2">
        <v>39</v>
      </c>
      <c r="G342" s="2">
        <v>54</v>
      </c>
      <c r="H342" s="2">
        <v>56</v>
      </c>
      <c r="I342" s="2">
        <v>54</v>
      </c>
      <c r="J342" s="2">
        <v>60</v>
      </c>
      <c r="K342" s="2">
        <v>60</v>
      </c>
    </row>
    <row r="343" spans="1:11" x14ac:dyDescent="0.35">
      <c r="A343" s="2" t="s">
        <v>331</v>
      </c>
      <c r="B343" s="2" t="s">
        <v>333</v>
      </c>
      <c r="C343" s="2" t="s">
        <v>23</v>
      </c>
      <c r="D343" s="2" t="s">
        <v>247</v>
      </c>
      <c r="E343" s="2" t="s">
        <v>20</v>
      </c>
      <c r="F343" s="2">
        <v>46</v>
      </c>
      <c r="G343" s="2">
        <v>54</v>
      </c>
      <c r="H343" s="2">
        <v>51</v>
      </c>
      <c r="I343" s="2">
        <v>44</v>
      </c>
      <c r="J343" s="2">
        <v>48</v>
      </c>
      <c r="K343" s="2">
        <v>64</v>
      </c>
    </row>
    <row r="344" spans="1:11" x14ac:dyDescent="0.35">
      <c r="A344" s="2" t="s">
        <v>334</v>
      </c>
      <c r="B344" s="2" t="s">
        <v>335</v>
      </c>
      <c r="C344" s="2" t="s">
        <v>23</v>
      </c>
      <c r="D344" s="2" t="s">
        <v>247</v>
      </c>
      <c r="E344" s="2" t="s">
        <v>15</v>
      </c>
      <c r="F344" s="2">
        <v>29</v>
      </c>
      <c r="G344" s="2">
        <v>58</v>
      </c>
      <c r="H344" s="2">
        <v>38</v>
      </c>
      <c r="I344" s="2">
        <v>53</v>
      </c>
      <c r="J344" s="2">
        <v>57</v>
      </c>
      <c r="K344" s="2">
        <v>52</v>
      </c>
    </row>
    <row r="345" spans="1:11" x14ac:dyDescent="0.35">
      <c r="A345" s="2" t="s">
        <v>334</v>
      </c>
      <c r="B345" s="2" t="s">
        <v>335</v>
      </c>
      <c r="C345" s="2" t="s">
        <v>23</v>
      </c>
      <c r="D345" s="2" t="s">
        <v>247</v>
      </c>
      <c r="E345" s="2" t="s">
        <v>17</v>
      </c>
      <c r="F345" s="2">
        <v>54</v>
      </c>
      <c r="G345" s="2">
        <v>42</v>
      </c>
      <c r="H345" s="2">
        <v>56</v>
      </c>
      <c r="I345" s="2">
        <v>55</v>
      </c>
      <c r="J345" s="2">
        <v>54</v>
      </c>
      <c r="K345" s="2">
        <v>64</v>
      </c>
    </row>
    <row r="346" spans="1:11" x14ac:dyDescent="0.35">
      <c r="A346" s="2" t="s">
        <v>334</v>
      </c>
      <c r="B346" s="2" t="s">
        <v>335</v>
      </c>
      <c r="C346" s="2" t="s">
        <v>33</v>
      </c>
      <c r="D346" s="2" t="s">
        <v>300</v>
      </c>
      <c r="E346" s="2" t="s">
        <v>20</v>
      </c>
      <c r="F346" s="2">
        <v>50</v>
      </c>
      <c r="G346" s="2">
        <v>44</v>
      </c>
      <c r="H346" s="2">
        <v>61</v>
      </c>
      <c r="I346" s="2">
        <v>63</v>
      </c>
      <c r="J346" s="2">
        <v>57</v>
      </c>
      <c r="K346" s="2">
        <v>60</v>
      </c>
    </row>
    <row r="347" spans="1:11" x14ac:dyDescent="0.35">
      <c r="A347" s="2" t="s">
        <v>336</v>
      </c>
      <c r="B347" s="2" t="s">
        <v>337</v>
      </c>
      <c r="C347" s="2" t="s">
        <v>18</v>
      </c>
      <c r="D347" s="2" t="s">
        <v>247</v>
      </c>
      <c r="E347" s="2" t="s">
        <v>15</v>
      </c>
      <c r="F347" s="2">
        <v>65</v>
      </c>
      <c r="G347" s="2">
        <v>73</v>
      </c>
      <c r="H347" s="2">
        <v>64</v>
      </c>
      <c r="I347" s="2">
        <v>56</v>
      </c>
      <c r="J347" s="2">
        <v>66</v>
      </c>
      <c r="K347" s="2">
        <v>73</v>
      </c>
    </row>
    <row r="348" spans="1:11" x14ac:dyDescent="0.35">
      <c r="A348" s="2" t="s">
        <v>336</v>
      </c>
      <c r="B348" s="2" t="s">
        <v>337</v>
      </c>
      <c r="C348" s="2" t="s">
        <v>18</v>
      </c>
      <c r="D348" s="2" t="s">
        <v>247</v>
      </c>
      <c r="E348" s="2" t="s">
        <v>17</v>
      </c>
      <c r="F348" s="2">
        <v>52</v>
      </c>
      <c r="G348" s="2">
        <v>56</v>
      </c>
      <c r="H348" s="2">
        <v>62</v>
      </c>
      <c r="I348" s="2">
        <v>68</v>
      </c>
      <c r="J348" s="2">
        <v>71</v>
      </c>
      <c r="K348" s="2">
        <v>79</v>
      </c>
    </row>
    <row r="349" spans="1:11" x14ac:dyDescent="0.35">
      <c r="A349" s="2" t="s">
        <v>336</v>
      </c>
      <c r="B349" s="2" t="s">
        <v>338</v>
      </c>
      <c r="C349" s="2" t="s">
        <v>18</v>
      </c>
      <c r="D349" s="2" t="s">
        <v>247</v>
      </c>
      <c r="E349" s="2" t="s">
        <v>20</v>
      </c>
      <c r="F349" s="2">
        <v>46</v>
      </c>
      <c r="G349" s="2">
        <v>68</v>
      </c>
      <c r="H349" s="2">
        <v>63</v>
      </c>
      <c r="I349" s="2">
        <v>70</v>
      </c>
      <c r="J349" s="2">
        <v>72</v>
      </c>
      <c r="K349" s="2">
        <v>80</v>
      </c>
    </row>
    <row r="350" spans="1:11" x14ac:dyDescent="0.35">
      <c r="A350" s="2" t="s">
        <v>339</v>
      </c>
      <c r="B350" s="2" t="s">
        <v>340</v>
      </c>
      <c r="C350" s="2" t="s">
        <v>23</v>
      </c>
      <c r="D350" s="2" t="s">
        <v>247</v>
      </c>
      <c r="E350" s="2" t="s">
        <v>15</v>
      </c>
      <c r="F350" s="2">
        <v>64</v>
      </c>
      <c r="G350" s="2">
        <v>66</v>
      </c>
      <c r="H350" s="2">
        <v>65</v>
      </c>
      <c r="I350" s="2">
        <v>70</v>
      </c>
      <c r="J350" s="2">
        <v>70</v>
      </c>
      <c r="K350" s="2">
        <v>82</v>
      </c>
    </row>
    <row r="351" spans="1:11" x14ac:dyDescent="0.35">
      <c r="A351" s="2" t="s">
        <v>339</v>
      </c>
      <c r="B351" s="2" t="s">
        <v>340</v>
      </c>
      <c r="C351" s="2" t="s">
        <v>23</v>
      </c>
      <c r="D351" s="2" t="s">
        <v>247</v>
      </c>
      <c r="E351" s="2" t="s">
        <v>17</v>
      </c>
      <c r="F351" s="2">
        <v>55</v>
      </c>
      <c r="G351" s="2">
        <v>65</v>
      </c>
      <c r="H351" s="2">
        <v>84</v>
      </c>
      <c r="I351" s="2">
        <v>82</v>
      </c>
      <c r="J351" s="2">
        <v>83</v>
      </c>
      <c r="K351" s="2">
        <v>89</v>
      </c>
    </row>
    <row r="352" spans="1:11" x14ac:dyDescent="0.35">
      <c r="A352" s="2" t="s">
        <v>339</v>
      </c>
      <c r="B352" s="2" t="s">
        <v>341</v>
      </c>
      <c r="C352" s="2" t="s">
        <v>30</v>
      </c>
      <c r="D352" s="2" t="s">
        <v>247</v>
      </c>
      <c r="E352" s="2" t="s">
        <v>20</v>
      </c>
      <c r="F352" s="2">
        <v>63</v>
      </c>
      <c r="G352" s="2">
        <v>93</v>
      </c>
      <c r="H352" s="2">
        <v>73</v>
      </c>
      <c r="I352" s="2">
        <v>79</v>
      </c>
      <c r="J352" s="2">
        <v>94</v>
      </c>
      <c r="K352" s="2">
        <v>81</v>
      </c>
    </row>
    <row r="353" spans="1:11" x14ac:dyDescent="0.35">
      <c r="A353" s="2" t="s">
        <v>342</v>
      </c>
      <c r="B353" s="2" t="s">
        <v>343</v>
      </c>
      <c r="C353" s="2" t="s">
        <v>23</v>
      </c>
      <c r="D353" s="2" t="s">
        <v>247</v>
      </c>
      <c r="E353" s="2" t="s">
        <v>15</v>
      </c>
      <c r="F353" s="2">
        <v>55</v>
      </c>
      <c r="G353" s="2">
        <v>67</v>
      </c>
      <c r="H353" s="2">
        <v>51</v>
      </c>
      <c r="I353" s="2">
        <v>56</v>
      </c>
      <c r="J353" s="2">
        <v>66</v>
      </c>
      <c r="K353" s="2">
        <v>69</v>
      </c>
    </row>
    <row r="354" spans="1:11" x14ac:dyDescent="0.35">
      <c r="A354" s="2" t="s">
        <v>342</v>
      </c>
      <c r="B354" s="2" t="s">
        <v>343</v>
      </c>
      <c r="C354" s="2" t="s">
        <v>23</v>
      </c>
      <c r="D354" s="2" t="s">
        <v>247</v>
      </c>
      <c r="E354" s="2" t="s">
        <v>17</v>
      </c>
      <c r="F354" s="2">
        <v>51</v>
      </c>
      <c r="G354" s="2">
        <v>44</v>
      </c>
      <c r="H354" s="2">
        <v>64</v>
      </c>
      <c r="I354" s="2">
        <v>62</v>
      </c>
      <c r="J354" s="2">
        <v>42</v>
      </c>
      <c r="K354" s="2">
        <v>54</v>
      </c>
    </row>
    <row r="355" spans="1:11" x14ac:dyDescent="0.35">
      <c r="A355" s="2" t="s">
        <v>342</v>
      </c>
      <c r="B355" s="2" t="s">
        <v>344</v>
      </c>
      <c r="C355" s="2" t="s">
        <v>23</v>
      </c>
      <c r="D355" s="2" t="s">
        <v>247</v>
      </c>
      <c r="E355" s="2" t="s">
        <v>20</v>
      </c>
      <c r="F355" s="2">
        <v>39</v>
      </c>
      <c r="G355" s="2">
        <v>47</v>
      </c>
      <c r="H355" s="2">
        <v>52</v>
      </c>
      <c r="I355" s="2">
        <v>50</v>
      </c>
      <c r="J355" s="2">
        <v>65</v>
      </c>
      <c r="K355" s="2">
        <v>66</v>
      </c>
    </row>
    <row r="356" spans="1:11" x14ac:dyDescent="0.35">
      <c r="A356" s="2" t="s">
        <v>345</v>
      </c>
      <c r="B356" s="2" t="s">
        <v>346</v>
      </c>
      <c r="C356" s="2" t="s">
        <v>23</v>
      </c>
      <c r="D356" s="2" t="s">
        <v>247</v>
      </c>
      <c r="E356" s="2" t="s">
        <v>15</v>
      </c>
      <c r="F356" s="2">
        <v>39</v>
      </c>
      <c r="G356" s="2">
        <v>37</v>
      </c>
      <c r="H356" s="2">
        <v>42</v>
      </c>
      <c r="I356" s="2">
        <v>50</v>
      </c>
      <c r="J356" s="2">
        <v>56</v>
      </c>
      <c r="K356" s="2">
        <v>47</v>
      </c>
    </row>
    <row r="357" spans="1:11" x14ac:dyDescent="0.35">
      <c r="A357" s="2" t="s">
        <v>345</v>
      </c>
      <c r="B357" s="2" t="s">
        <v>346</v>
      </c>
      <c r="C357" s="2" t="s">
        <v>23</v>
      </c>
      <c r="D357" s="2" t="s">
        <v>247</v>
      </c>
      <c r="E357" s="2" t="s">
        <v>17</v>
      </c>
      <c r="F357" s="2">
        <v>39</v>
      </c>
      <c r="G357" s="2">
        <v>37</v>
      </c>
      <c r="H357" s="2">
        <v>39</v>
      </c>
      <c r="I357" s="2">
        <v>55</v>
      </c>
      <c r="J357" s="2">
        <v>59</v>
      </c>
      <c r="K357" s="2">
        <v>48</v>
      </c>
    </row>
    <row r="358" spans="1:11" x14ac:dyDescent="0.35">
      <c r="A358" s="2" t="s">
        <v>345</v>
      </c>
      <c r="B358" s="2" t="s">
        <v>346</v>
      </c>
      <c r="C358" s="2" t="s">
        <v>23</v>
      </c>
      <c r="D358" s="2" t="s">
        <v>247</v>
      </c>
      <c r="E358" s="2" t="s">
        <v>20</v>
      </c>
      <c r="F358" s="2">
        <v>36</v>
      </c>
      <c r="G358" s="2">
        <v>38</v>
      </c>
      <c r="H358" s="2">
        <v>31</v>
      </c>
      <c r="I358" s="2">
        <v>49</v>
      </c>
      <c r="J358" s="2">
        <v>51</v>
      </c>
      <c r="K358" s="2">
        <v>54</v>
      </c>
    </row>
    <row r="359" spans="1:11" x14ac:dyDescent="0.35">
      <c r="A359" s="2" t="s">
        <v>347</v>
      </c>
      <c r="B359" s="2" t="s">
        <v>348</v>
      </c>
      <c r="C359" s="2" t="s">
        <v>18</v>
      </c>
      <c r="D359" s="2" t="s">
        <v>247</v>
      </c>
      <c r="E359" s="2" t="s">
        <v>15</v>
      </c>
      <c r="F359" s="2">
        <v>33</v>
      </c>
      <c r="G359" s="2">
        <v>42</v>
      </c>
      <c r="H359" s="2">
        <v>38</v>
      </c>
      <c r="I359" s="2">
        <v>50</v>
      </c>
      <c r="J359" s="2">
        <v>45</v>
      </c>
      <c r="K359" s="2">
        <v>55</v>
      </c>
    </row>
    <row r="360" spans="1:11" x14ac:dyDescent="0.35">
      <c r="A360" s="2" t="s">
        <v>347</v>
      </c>
      <c r="B360" s="2" t="s">
        <v>348</v>
      </c>
      <c r="C360" s="2" t="s">
        <v>18</v>
      </c>
      <c r="D360" s="2" t="s">
        <v>247</v>
      </c>
      <c r="E360" s="2" t="s">
        <v>17</v>
      </c>
      <c r="F360" s="2">
        <v>45</v>
      </c>
      <c r="G360" s="2">
        <v>46</v>
      </c>
      <c r="H360" s="2">
        <v>33</v>
      </c>
      <c r="I360" s="2">
        <v>50</v>
      </c>
      <c r="J360" s="2">
        <v>50</v>
      </c>
      <c r="K360" s="2">
        <v>63</v>
      </c>
    </row>
    <row r="361" spans="1:11" x14ac:dyDescent="0.35">
      <c r="A361" s="2" t="s">
        <v>347</v>
      </c>
      <c r="B361" s="2" t="s">
        <v>348</v>
      </c>
      <c r="C361" s="2" t="s">
        <v>18</v>
      </c>
      <c r="D361" s="2" t="s">
        <v>247</v>
      </c>
      <c r="E361" s="2" t="s">
        <v>20</v>
      </c>
      <c r="F361" s="2">
        <v>47</v>
      </c>
      <c r="G361" s="2">
        <v>40</v>
      </c>
      <c r="H361" s="2">
        <v>41</v>
      </c>
      <c r="I361" s="2">
        <v>58</v>
      </c>
      <c r="J361" s="2">
        <v>51</v>
      </c>
      <c r="K361" s="2">
        <v>46</v>
      </c>
    </row>
    <row r="362" spans="1:11" x14ac:dyDescent="0.35">
      <c r="A362" s="2" t="s">
        <v>349</v>
      </c>
      <c r="B362" s="2" t="s">
        <v>350</v>
      </c>
      <c r="C362" s="2" t="s">
        <v>23</v>
      </c>
      <c r="D362" s="2" t="s">
        <v>351</v>
      </c>
      <c r="E362" s="2" t="s">
        <v>15</v>
      </c>
      <c r="F362" s="2">
        <v>50</v>
      </c>
      <c r="G362" s="2">
        <v>56</v>
      </c>
      <c r="H362" s="2">
        <v>50</v>
      </c>
      <c r="I362" s="2">
        <v>62</v>
      </c>
      <c r="J362" s="2">
        <v>56</v>
      </c>
      <c r="K362" s="2">
        <v>72</v>
      </c>
    </row>
    <row r="363" spans="1:11" x14ac:dyDescent="0.35">
      <c r="A363" s="2" t="s">
        <v>349</v>
      </c>
      <c r="B363" s="2" t="s">
        <v>350</v>
      </c>
      <c r="C363" s="2" t="s">
        <v>23</v>
      </c>
      <c r="D363" s="2" t="s">
        <v>352</v>
      </c>
      <c r="E363" s="2" t="s">
        <v>17</v>
      </c>
      <c r="F363" s="2">
        <v>40</v>
      </c>
      <c r="G363" s="2">
        <v>60</v>
      </c>
      <c r="H363" s="2">
        <v>58</v>
      </c>
      <c r="I363" s="2">
        <v>65</v>
      </c>
      <c r="J363" s="2">
        <v>57</v>
      </c>
      <c r="K363" s="2">
        <v>57</v>
      </c>
    </row>
    <row r="364" spans="1:11" x14ac:dyDescent="0.35">
      <c r="A364" s="2" t="s">
        <v>349</v>
      </c>
      <c r="B364" s="2" t="s">
        <v>353</v>
      </c>
      <c r="C364" s="2" t="s">
        <v>23</v>
      </c>
      <c r="D364" s="2" t="s">
        <v>352</v>
      </c>
      <c r="E364" s="2" t="s">
        <v>20</v>
      </c>
      <c r="F364" s="2">
        <v>61</v>
      </c>
      <c r="G364" s="2">
        <v>58</v>
      </c>
      <c r="H364" s="2">
        <v>48</v>
      </c>
      <c r="I364" s="2">
        <v>63</v>
      </c>
      <c r="J364" s="2">
        <v>69</v>
      </c>
      <c r="K364" s="2">
        <v>65</v>
      </c>
    </row>
    <row r="365" spans="1:11" x14ac:dyDescent="0.35">
      <c r="A365" s="2" t="s">
        <v>354</v>
      </c>
      <c r="B365" s="2" t="s">
        <v>355</v>
      </c>
      <c r="C365" s="2" t="s">
        <v>18</v>
      </c>
      <c r="D365" s="2" t="s">
        <v>351</v>
      </c>
      <c r="E365" s="2" t="s">
        <v>15</v>
      </c>
      <c r="F365" s="2">
        <v>47</v>
      </c>
      <c r="G365" s="2">
        <v>65</v>
      </c>
      <c r="H365" s="2">
        <v>46</v>
      </c>
      <c r="I365" s="2">
        <v>67</v>
      </c>
      <c r="J365" s="2">
        <v>69</v>
      </c>
      <c r="K365" s="2">
        <v>63</v>
      </c>
    </row>
    <row r="366" spans="1:11" x14ac:dyDescent="0.35">
      <c r="A366" s="2" t="s">
        <v>354</v>
      </c>
      <c r="B366" s="2" t="s">
        <v>355</v>
      </c>
      <c r="C366" s="2" t="s">
        <v>18</v>
      </c>
      <c r="D366" s="2" t="s">
        <v>351</v>
      </c>
      <c r="E366" s="2" t="s">
        <v>17</v>
      </c>
      <c r="F366" s="2">
        <v>52</v>
      </c>
      <c r="G366" s="2">
        <v>57</v>
      </c>
      <c r="H366" s="2">
        <v>50</v>
      </c>
      <c r="I366" s="2">
        <v>53</v>
      </c>
      <c r="J366" s="2">
        <v>58</v>
      </c>
      <c r="K366" s="2">
        <v>57</v>
      </c>
    </row>
    <row r="367" spans="1:11" x14ac:dyDescent="0.35">
      <c r="A367" s="2" t="s">
        <v>354</v>
      </c>
      <c r="B367" s="2" t="s">
        <v>355</v>
      </c>
      <c r="C367" s="2" t="s">
        <v>18</v>
      </c>
      <c r="D367" s="2" t="s">
        <v>356</v>
      </c>
      <c r="E367" s="2" t="s">
        <v>20</v>
      </c>
      <c r="F367" s="2">
        <v>57</v>
      </c>
      <c r="G367" s="2">
        <v>43</v>
      </c>
      <c r="H367" s="2">
        <v>63</v>
      </c>
      <c r="I367" s="2">
        <v>54</v>
      </c>
      <c r="J367" s="2">
        <v>51</v>
      </c>
      <c r="K367" s="2">
        <v>55</v>
      </c>
    </row>
    <row r="368" spans="1:11" x14ac:dyDescent="0.35">
      <c r="A368" s="2" t="s">
        <v>357</v>
      </c>
      <c r="B368" s="2" t="s">
        <v>358</v>
      </c>
      <c r="C368" s="2" t="s">
        <v>23</v>
      </c>
      <c r="D368" s="2" t="s">
        <v>351</v>
      </c>
      <c r="E368" s="2" t="s">
        <v>15</v>
      </c>
      <c r="F368" s="2">
        <v>35</v>
      </c>
      <c r="G368" s="2">
        <v>34</v>
      </c>
      <c r="H368" s="2">
        <v>52</v>
      </c>
      <c r="I368" s="2">
        <v>50</v>
      </c>
      <c r="J368" s="2">
        <v>46</v>
      </c>
      <c r="K368" s="2">
        <v>45</v>
      </c>
    </row>
    <row r="369" spans="1:11" x14ac:dyDescent="0.35">
      <c r="A369" s="2" t="s">
        <v>357</v>
      </c>
      <c r="B369" s="2" t="s">
        <v>358</v>
      </c>
      <c r="C369" s="2" t="s">
        <v>25</v>
      </c>
      <c r="D369" s="2" t="s">
        <v>351</v>
      </c>
      <c r="E369" s="2" t="s">
        <v>17</v>
      </c>
      <c r="F369" s="2">
        <v>43</v>
      </c>
      <c r="G369" s="2">
        <v>44</v>
      </c>
      <c r="H369" s="2">
        <v>60</v>
      </c>
      <c r="I369" s="2">
        <v>42</v>
      </c>
      <c r="J369" s="2">
        <v>50</v>
      </c>
      <c r="K369" s="2">
        <v>52</v>
      </c>
    </row>
    <row r="370" spans="1:11" x14ac:dyDescent="0.35">
      <c r="A370" s="2" t="s">
        <v>357</v>
      </c>
      <c r="B370" s="2" t="s">
        <v>358</v>
      </c>
      <c r="C370" s="2" t="s">
        <v>23</v>
      </c>
      <c r="D370" s="2" t="s">
        <v>351</v>
      </c>
      <c r="E370" s="2" t="s">
        <v>20</v>
      </c>
      <c r="F370" s="2">
        <v>54</v>
      </c>
      <c r="G370" s="2">
        <v>59</v>
      </c>
      <c r="H370" s="2">
        <v>54</v>
      </c>
      <c r="I370" s="2">
        <v>59</v>
      </c>
      <c r="J370" s="2">
        <v>64</v>
      </c>
      <c r="K370" s="2">
        <v>57</v>
      </c>
    </row>
    <row r="371" spans="1:11" x14ac:dyDescent="0.35">
      <c r="A371" s="2" t="s">
        <v>359</v>
      </c>
      <c r="B371" s="2" t="s">
        <v>360</v>
      </c>
      <c r="C371" s="2" t="s">
        <v>18</v>
      </c>
      <c r="D371" s="2" t="s">
        <v>351</v>
      </c>
      <c r="E371" s="2" t="s">
        <v>15</v>
      </c>
      <c r="F371" s="2">
        <v>63</v>
      </c>
      <c r="G371" s="2">
        <v>57</v>
      </c>
      <c r="H371" s="2">
        <v>68</v>
      </c>
      <c r="I371" s="2">
        <v>65</v>
      </c>
      <c r="J371" s="2">
        <v>78</v>
      </c>
      <c r="K371" s="2">
        <v>63</v>
      </c>
    </row>
    <row r="372" spans="1:11" x14ac:dyDescent="0.35">
      <c r="A372" s="2" t="s">
        <v>359</v>
      </c>
      <c r="B372" s="2" t="s">
        <v>361</v>
      </c>
      <c r="C372" s="2" t="s">
        <v>18</v>
      </c>
      <c r="D372" s="2" t="s">
        <v>351</v>
      </c>
      <c r="E372" s="2" t="s">
        <v>17</v>
      </c>
      <c r="F372" s="2">
        <v>57</v>
      </c>
      <c r="G372" s="2">
        <v>61</v>
      </c>
      <c r="H372" s="2">
        <v>71</v>
      </c>
      <c r="I372" s="2">
        <v>59</v>
      </c>
      <c r="J372" s="2">
        <v>77</v>
      </c>
      <c r="K372" s="2">
        <v>76</v>
      </c>
    </row>
    <row r="373" spans="1:11" x14ac:dyDescent="0.35">
      <c r="A373" s="2" t="s">
        <v>359</v>
      </c>
      <c r="B373" s="2" t="s">
        <v>360</v>
      </c>
      <c r="C373" s="2" t="s">
        <v>18</v>
      </c>
      <c r="D373" s="2" t="s">
        <v>351</v>
      </c>
      <c r="E373" s="2" t="s">
        <v>20</v>
      </c>
      <c r="F373" s="2">
        <v>65</v>
      </c>
      <c r="G373" s="2">
        <v>62</v>
      </c>
      <c r="H373" s="2">
        <v>68</v>
      </c>
      <c r="I373" s="2">
        <v>82</v>
      </c>
      <c r="J373" s="2">
        <v>66</v>
      </c>
      <c r="K373" s="2">
        <v>75</v>
      </c>
    </row>
    <row r="374" spans="1:11" x14ac:dyDescent="0.35">
      <c r="A374" s="2" t="s">
        <v>362</v>
      </c>
      <c r="B374" s="2" t="s">
        <v>363</v>
      </c>
      <c r="C374" s="2" t="s">
        <v>23</v>
      </c>
      <c r="D374" s="2" t="s">
        <v>351</v>
      </c>
      <c r="E374" s="2" t="s">
        <v>15</v>
      </c>
      <c r="F374" s="2">
        <v>72</v>
      </c>
      <c r="G374" s="2">
        <v>73</v>
      </c>
      <c r="H374" s="2">
        <v>72</v>
      </c>
      <c r="I374" s="2">
        <v>87</v>
      </c>
      <c r="J374" s="2">
        <v>84</v>
      </c>
      <c r="K374" s="2">
        <v>69</v>
      </c>
    </row>
    <row r="375" spans="1:11" x14ac:dyDescent="0.35">
      <c r="A375" s="2" t="s">
        <v>362</v>
      </c>
      <c r="B375" s="2" t="s">
        <v>363</v>
      </c>
      <c r="C375" s="2" t="s">
        <v>23</v>
      </c>
      <c r="D375" s="2" t="s">
        <v>351</v>
      </c>
      <c r="E375" s="2" t="s">
        <v>17</v>
      </c>
      <c r="F375" s="2">
        <v>75</v>
      </c>
      <c r="G375" s="2">
        <v>75</v>
      </c>
      <c r="H375" s="2">
        <v>82</v>
      </c>
      <c r="I375" s="2">
        <v>76</v>
      </c>
      <c r="J375" s="2">
        <v>98</v>
      </c>
      <c r="K375" s="2">
        <v>77</v>
      </c>
    </row>
    <row r="376" spans="1:11" x14ac:dyDescent="0.35">
      <c r="A376" s="2" t="s">
        <v>362</v>
      </c>
      <c r="B376" s="2" t="s">
        <v>363</v>
      </c>
      <c r="C376" s="2" t="s">
        <v>23</v>
      </c>
      <c r="D376" s="2" t="s">
        <v>351</v>
      </c>
      <c r="E376" s="2" t="s">
        <v>20</v>
      </c>
      <c r="F376" s="2">
        <v>74</v>
      </c>
      <c r="G376" s="2">
        <v>680</v>
      </c>
      <c r="H376" s="2">
        <v>74</v>
      </c>
      <c r="I376" s="2">
        <v>70</v>
      </c>
      <c r="J376" s="2">
        <v>88</v>
      </c>
      <c r="K376" s="2">
        <v>81</v>
      </c>
    </row>
    <row r="377" spans="1:11" x14ac:dyDescent="0.35">
      <c r="A377" s="2" t="s">
        <v>364</v>
      </c>
      <c r="B377" s="2" t="s">
        <v>365</v>
      </c>
      <c r="C377" s="2" t="s">
        <v>13</v>
      </c>
      <c r="D377" s="2" t="s">
        <v>351</v>
      </c>
      <c r="E377" s="2" t="s">
        <v>15</v>
      </c>
      <c r="F377" s="2">
        <v>59</v>
      </c>
      <c r="G377" s="2">
        <v>54</v>
      </c>
      <c r="H377" s="2">
        <v>41</v>
      </c>
      <c r="I377" s="2">
        <v>51</v>
      </c>
      <c r="J377" s="2">
        <v>56</v>
      </c>
      <c r="K377" s="2">
        <v>70</v>
      </c>
    </row>
    <row r="378" spans="1:11" x14ac:dyDescent="0.35">
      <c r="A378" s="2" t="s">
        <v>364</v>
      </c>
      <c r="B378" s="2" t="s">
        <v>366</v>
      </c>
      <c r="C378" s="2" t="s">
        <v>18</v>
      </c>
      <c r="D378" s="2" t="s">
        <v>351</v>
      </c>
      <c r="E378" s="2" t="s">
        <v>17</v>
      </c>
      <c r="F378" s="2">
        <v>69</v>
      </c>
      <c r="G378" s="2">
        <v>55</v>
      </c>
      <c r="H378" s="2">
        <v>56</v>
      </c>
      <c r="I378" s="2">
        <v>67</v>
      </c>
      <c r="J378" s="2">
        <v>52</v>
      </c>
      <c r="K378" s="2">
        <v>59</v>
      </c>
    </row>
    <row r="379" spans="1:11" x14ac:dyDescent="0.35">
      <c r="A379" s="2" t="s">
        <v>364</v>
      </c>
      <c r="B379" s="2" t="s">
        <v>366</v>
      </c>
      <c r="C379" s="2" t="s">
        <v>18</v>
      </c>
      <c r="D379" s="2" t="s">
        <v>351</v>
      </c>
      <c r="E379" s="2" t="s">
        <v>20</v>
      </c>
      <c r="F379" s="2">
        <v>55</v>
      </c>
      <c r="G379" s="2">
        <v>59</v>
      </c>
      <c r="H379" s="2">
        <v>54</v>
      </c>
      <c r="I379" s="2">
        <v>53</v>
      </c>
      <c r="J379" s="2">
        <v>61</v>
      </c>
      <c r="K379" s="2">
        <v>68</v>
      </c>
    </row>
    <row r="380" spans="1:11" x14ac:dyDescent="0.35">
      <c r="A380" s="2" t="s">
        <v>367</v>
      </c>
      <c r="B380" s="2" t="s">
        <v>368</v>
      </c>
      <c r="C380" s="2" t="s">
        <v>23</v>
      </c>
      <c r="D380" s="2" t="s">
        <v>351</v>
      </c>
      <c r="E380" s="2" t="s">
        <v>15</v>
      </c>
      <c r="F380" s="2">
        <v>14</v>
      </c>
      <c r="G380" s="2">
        <v>26</v>
      </c>
      <c r="H380" s="2">
        <v>38</v>
      </c>
      <c r="I380" s="2">
        <v>31</v>
      </c>
      <c r="J380" s="2">
        <v>33</v>
      </c>
      <c r="K380" s="2">
        <v>24</v>
      </c>
    </row>
    <row r="381" spans="1:11" x14ac:dyDescent="0.35">
      <c r="A381" s="2" t="s">
        <v>367</v>
      </c>
      <c r="B381" s="2" t="s">
        <v>368</v>
      </c>
      <c r="C381" s="2" t="s">
        <v>30</v>
      </c>
      <c r="D381" s="2" t="s">
        <v>351</v>
      </c>
      <c r="E381" s="2" t="s">
        <v>17</v>
      </c>
      <c r="F381" s="2">
        <v>24</v>
      </c>
      <c r="G381" s="2">
        <v>32</v>
      </c>
      <c r="H381" s="2">
        <v>26</v>
      </c>
      <c r="I381" s="2">
        <v>28</v>
      </c>
      <c r="J381" s="2">
        <v>27</v>
      </c>
      <c r="K381" s="2">
        <v>38</v>
      </c>
    </row>
    <row r="382" spans="1:11" x14ac:dyDescent="0.35">
      <c r="A382" s="2" t="s">
        <v>367</v>
      </c>
      <c r="B382" s="2" t="s">
        <v>368</v>
      </c>
      <c r="C382" s="2" t="s">
        <v>23</v>
      </c>
      <c r="D382" s="2" t="s">
        <v>351</v>
      </c>
      <c r="E382" s="2" t="s">
        <v>20</v>
      </c>
      <c r="F382" s="2">
        <v>42</v>
      </c>
      <c r="G382" s="2">
        <v>47</v>
      </c>
      <c r="H382" s="2">
        <v>45</v>
      </c>
      <c r="I382" s="2">
        <v>52</v>
      </c>
      <c r="J382" s="2">
        <v>41</v>
      </c>
      <c r="K382" s="2">
        <v>44</v>
      </c>
    </row>
    <row r="383" spans="1:11" x14ac:dyDescent="0.35">
      <c r="A383" s="2" t="s">
        <v>369</v>
      </c>
      <c r="B383" s="2" t="s">
        <v>370</v>
      </c>
      <c r="C383" s="2" t="s">
        <v>23</v>
      </c>
      <c r="D383" s="2" t="s">
        <v>351</v>
      </c>
      <c r="E383" s="2" t="s">
        <v>15</v>
      </c>
      <c r="F383" s="2">
        <v>55</v>
      </c>
      <c r="G383" s="2">
        <v>57</v>
      </c>
      <c r="H383" s="2">
        <v>63</v>
      </c>
      <c r="I383" s="2">
        <v>61</v>
      </c>
      <c r="J383" s="2">
        <v>75</v>
      </c>
      <c r="K383" s="2">
        <v>63</v>
      </c>
    </row>
    <row r="384" spans="1:11" x14ac:dyDescent="0.35">
      <c r="A384" s="2" t="s">
        <v>369</v>
      </c>
      <c r="B384" s="2" t="s">
        <v>371</v>
      </c>
      <c r="C384" s="2" t="s">
        <v>33</v>
      </c>
      <c r="D384" s="2" t="s">
        <v>351</v>
      </c>
      <c r="E384" s="2" t="s">
        <v>17</v>
      </c>
      <c r="F384" s="2">
        <v>59</v>
      </c>
      <c r="G384" s="2">
        <v>73</v>
      </c>
      <c r="H384" s="2">
        <v>51</v>
      </c>
      <c r="I384" s="2">
        <v>60</v>
      </c>
      <c r="J384" s="2">
        <v>60</v>
      </c>
      <c r="K384" s="2">
        <v>60</v>
      </c>
    </row>
    <row r="385" spans="1:11" x14ac:dyDescent="0.35">
      <c r="A385" s="2" t="s">
        <v>369</v>
      </c>
      <c r="B385" s="2" t="s">
        <v>370</v>
      </c>
      <c r="C385" s="2" t="s">
        <v>23</v>
      </c>
      <c r="D385" s="2" t="s">
        <v>351</v>
      </c>
      <c r="E385" s="2" t="s">
        <v>20</v>
      </c>
      <c r="F385" s="2">
        <v>55</v>
      </c>
      <c r="G385" s="2">
        <v>63</v>
      </c>
      <c r="H385" s="2">
        <v>52</v>
      </c>
      <c r="I385" s="2">
        <v>59</v>
      </c>
      <c r="J385" s="2">
        <v>65</v>
      </c>
      <c r="K385" s="2">
        <v>68</v>
      </c>
    </row>
    <row r="386" spans="1:11" x14ac:dyDescent="0.35">
      <c r="A386" s="2" t="s">
        <v>372</v>
      </c>
      <c r="B386" s="2" t="s">
        <v>373</v>
      </c>
      <c r="C386" s="2" t="s">
        <v>18</v>
      </c>
      <c r="D386" s="2" t="s">
        <v>352</v>
      </c>
      <c r="E386" s="2" t="s">
        <v>15</v>
      </c>
      <c r="F386" s="2">
        <v>69</v>
      </c>
      <c r="G386" s="2">
        <v>98</v>
      </c>
      <c r="H386" s="2">
        <v>79</v>
      </c>
      <c r="I386" s="2">
        <v>87</v>
      </c>
      <c r="J386" s="2">
        <v>83</v>
      </c>
      <c r="K386" s="2">
        <v>87</v>
      </c>
    </row>
    <row r="387" spans="1:11" x14ac:dyDescent="0.35">
      <c r="A387" s="2" t="s">
        <v>372</v>
      </c>
      <c r="B387" s="2" t="s">
        <v>374</v>
      </c>
      <c r="C387" s="2" t="s">
        <v>18</v>
      </c>
      <c r="D387" s="2" t="s">
        <v>351</v>
      </c>
      <c r="E387" s="2" t="s">
        <v>17</v>
      </c>
      <c r="F387" s="2">
        <v>75</v>
      </c>
      <c r="G387" s="2">
        <v>98</v>
      </c>
      <c r="H387" s="2">
        <v>72</v>
      </c>
      <c r="I387" s="2">
        <v>89</v>
      </c>
      <c r="J387" s="2">
        <v>96</v>
      </c>
      <c r="K387" s="2">
        <v>82</v>
      </c>
    </row>
    <row r="388" spans="1:11" x14ac:dyDescent="0.35">
      <c r="A388" s="2" t="s">
        <v>372</v>
      </c>
      <c r="B388" s="2" t="s">
        <v>374</v>
      </c>
      <c r="C388" s="2" t="s">
        <v>18</v>
      </c>
      <c r="D388" s="2" t="s">
        <v>351</v>
      </c>
      <c r="E388" s="2" t="s">
        <v>20</v>
      </c>
      <c r="F388" s="2">
        <v>88</v>
      </c>
      <c r="G388" s="2">
        <v>98</v>
      </c>
      <c r="H388" s="2">
        <v>91</v>
      </c>
      <c r="I388" s="2">
        <v>94</v>
      </c>
      <c r="J388" s="2">
        <v>95</v>
      </c>
      <c r="K388" s="2">
        <v>95</v>
      </c>
    </row>
    <row r="389" spans="1:11" x14ac:dyDescent="0.35">
      <c r="A389" s="2" t="s">
        <v>375</v>
      </c>
      <c r="B389" s="2" t="s">
        <v>376</v>
      </c>
      <c r="C389" s="2" t="s">
        <v>18</v>
      </c>
      <c r="D389" s="2" t="s">
        <v>351</v>
      </c>
      <c r="E389" s="2" t="s">
        <v>15</v>
      </c>
      <c r="F389" s="2">
        <v>62</v>
      </c>
      <c r="G389" s="2">
        <v>58</v>
      </c>
      <c r="H389" s="2">
        <v>64</v>
      </c>
      <c r="I389" s="2">
        <v>64</v>
      </c>
      <c r="J389" s="2">
        <v>64</v>
      </c>
      <c r="K389" s="2">
        <v>62</v>
      </c>
    </row>
    <row r="390" spans="1:11" x14ac:dyDescent="0.35">
      <c r="A390" s="2" t="s">
        <v>375</v>
      </c>
      <c r="B390" s="2" t="s">
        <v>376</v>
      </c>
      <c r="C390" s="2" t="s">
        <v>18</v>
      </c>
      <c r="D390" s="2" t="s">
        <v>351</v>
      </c>
      <c r="E390" s="2" t="s">
        <v>17</v>
      </c>
      <c r="F390" s="2">
        <v>62</v>
      </c>
      <c r="G390" s="2">
        <v>59</v>
      </c>
      <c r="H390" s="2">
        <v>69</v>
      </c>
      <c r="I390" s="2">
        <v>66</v>
      </c>
      <c r="J390" s="2">
        <v>68</v>
      </c>
      <c r="K390" s="2">
        <v>62</v>
      </c>
    </row>
    <row r="391" spans="1:11" x14ac:dyDescent="0.35">
      <c r="A391" s="2" t="s">
        <v>375</v>
      </c>
      <c r="B391" s="2" t="s">
        <v>376</v>
      </c>
      <c r="C391" s="2" t="s">
        <v>18</v>
      </c>
      <c r="D391" s="2" t="s">
        <v>351</v>
      </c>
      <c r="E391" s="2" t="s">
        <v>20</v>
      </c>
      <c r="F391" s="2">
        <v>50</v>
      </c>
      <c r="G391" s="2">
        <v>67</v>
      </c>
      <c r="H391" s="2">
        <v>61</v>
      </c>
      <c r="I391" s="2">
        <v>67</v>
      </c>
      <c r="J391" s="2">
        <v>72</v>
      </c>
      <c r="K391" s="2">
        <v>73</v>
      </c>
    </row>
    <row r="392" spans="1:11" x14ac:dyDescent="0.35">
      <c r="A392" s="2" t="s">
        <v>377</v>
      </c>
      <c r="B392" s="2" t="s">
        <v>378</v>
      </c>
      <c r="C392" s="2" t="s">
        <v>30</v>
      </c>
      <c r="D392" s="2" t="s">
        <v>351</v>
      </c>
      <c r="E392" s="2" t="s">
        <v>15</v>
      </c>
      <c r="F392" s="2">
        <v>51</v>
      </c>
      <c r="G392" s="2">
        <v>80</v>
      </c>
      <c r="H392" s="2">
        <v>80</v>
      </c>
      <c r="I392" s="2">
        <v>66</v>
      </c>
      <c r="J392" s="2">
        <v>54</v>
      </c>
      <c r="K392" s="2">
        <v>60</v>
      </c>
    </row>
    <row r="393" spans="1:11" x14ac:dyDescent="0.35">
      <c r="A393" s="2" t="s">
        <v>377</v>
      </c>
      <c r="B393" s="2" t="s">
        <v>379</v>
      </c>
      <c r="C393" s="2" t="s">
        <v>23</v>
      </c>
      <c r="D393" s="2" t="s">
        <v>351</v>
      </c>
      <c r="E393" s="2" t="s">
        <v>17</v>
      </c>
      <c r="F393" s="2">
        <v>55</v>
      </c>
      <c r="G393" s="2">
        <v>52</v>
      </c>
      <c r="H393" s="2">
        <v>54</v>
      </c>
      <c r="I393" s="2">
        <v>45</v>
      </c>
      <c r="J393" s="2">
        <v>63</v>
      </c>
      <c r="K393" s="2">
        <v>71</v>
      </c>
    </row>
    <row r="394" spans="1:11" x14ac:dyDescent="0.35">
      <c r="A394" s="2" t="s">
        <v>377</v>
      </c>
      <c r="B394" s="2" t="s">
        <v>380</v>
      </c>
      <c r="C394" s="2" t="s">
        <v>23</v>
      </c>
      <c r="D394" s="2" t="s">
        <v>381</v>
      </c>
      <c r="E394" s="2" t="s">
        <v>20</v>
      </c>
      <c r="F394" s="2">
        <v>39</v>
      </c>
      <c r="G394" s="2">
        <v>51</v>
      </c>
      <c r="H394" s="2">
        <v>49</v>
      </c>
      <c r="I394" s="2">
        <v>39</v>
      </c>
      <c r="J394" s="2">
        <v>54</v>
      </c>
      <c r="K394" s="2">
        <v>55</v>
      </c>
    </row>
    <row r="395" spans="1:11" x14ac:dyDescent="0.35">
      <c r="A395" s="2" t="s">
        <v>382</v>
      </c>
      <c r="B395" s="2" t="s">
        <v>383</v>
      </c>
      <c r="C395" s="2" t="s">
        <v>18</v>
      </c>
      <c r="D395" s="2" t="s">
        <v>356</v>
      </c>
      <c r="E395" s="2" t="s">
        <v>15</v>
      </c>
      <c r="F395" s="2">
        <v>52</v>
      </c>
      <c r="G395" s="2">
        <v>62</v>
      </c>
      <c r="H395" s="2">
        <v>68</v>
      </c>
      <c r="I395" s="2">
        <v>73</v>
      </c>
      <c r="J395" s="2">
        <v>74</v>
      </c>
      <c r="K395" s="2">
        <v>70</v>
      </c>
    </row>
    <row r="396" spans="1:11" x14ac:dyDescent="0.35">
      <c r="A396" s="2" t="s">
        <v>273</v>
      </c>
      <c r="B396" s="2" t="s">
        <v>384</v>
      </c>
      <c r="C396" s="2" t="s">
        <v>23</v>
      </c>
      <c r="D396" s="2" t="s">
        <v>275</v>
      </c>
      <c r="E396" s="2" t="s">
        <v>17</v>
      </c>
      <c r="F396" s="2">
        <v>61</v>
      </c>
      <c r="G396" s="2">
        <v>58</v>
      </c>
      <c r="H396" s="2">
        <v>67</v>
      </c>
      <c r="I396" s="2">
        <v>72</v>
      </c>
      <c r="J396" s="2">
        <v>71</v>
      </c>
      <c r="K396" s="2">
        <v>66</v>
      </c>
    </row>
    <row r="397" spans="1:11" x14ac:dyDescent="0.35">
      <c r="A397" s="2" t="s">
        <v>382</v>
      </c>
      <c r="B397" s="2" t="s">
        <v>383</v>
      </c>
      <c r="C397" s="2" t="s">
        <v>16</v>
      </c>
      <c r="D397" s="2" t="s">
        <v>351</v>
      </c>
      <c r="E397" s="2" t="s">
        <v>17</v>
      </c>
      <c r="F397" s="2">
        <v>57</v>
      </c>
      <c r="G397" s="2">
        <v>70</v>
      </c>
      <c r="H397" s="2">
        <v>64</v>
      </c>
      <c r="I397" s="2">
        <v>79</v>
      </c>
      <c r="J397" s="2">
        <v>81</v>
      </c>
      <c r="K397" s="2">
        <v>71</v>
      </c>
    </row>
    <row r="398" spans="1:11" x14ac:dyDescent="0.35">
      <c r="A398" s="2" t="s">
        <v>382</v>
      </c>
      <c r="B398" s="2" t="s">
        <v>385</v>
      </c>
      <c r="C398" s="2" t="s">
        <v>16</v>
      </c>
      <c r="D398" s="2" t="s">
        <v>351</v>
      </c>
      <c r="E398" s="2" t="s">
        <v>20</v>
      </c>
      <c r="F398" s="2">
        <v>52</v>
      </c>
      <c r="G398" s="2">
        <v>71</v>
      </c>
      <c r="H398" s="2">
        <v>63</v>
      </c>
      <c r="I398" s="2">
        <v>78</v>
      </c>
      <c r="J398" s="2">
        <v>78</v>
      </c>
      <c r="K398" s="2">
        <v>68</v>
      </c>
    </row>
    <row r="399" spans="1:11" x14ac:dyDescent="0.35">
      <c r="A399" s="2" t="s">
        <v>386</v>
      </c>
      <c r="B399" s="2" t="s">
        <v>387</v>
      </c>
      <c r="C399" s="2" t="s">
        <v>18</v>
      </c>
      <c r="D399" s="2" t="s">
        <v>351</v>
      </c>
      <c r="E399" s="2" t="s">
        <v>15</v>
      </c>
      <c r="F399" s="2">
        <v>61</v>
      </c>
      <c r="G399" s="2">
        <v>70</v>
      </c>
      <c r="H399" s="2">
        <v>61</v>
      </c>
      <c r="I399" s="2">
        <v>67</v>
      </c>
      <c r="J399" s="2">
        <v>60</v>
      </c>
      <c r="K399" s="2">
        <v>60</v>
      </c>
    </row>
    <row r="400" spans="1:11" x14ac:dyDescent="0.35">
      <c r="A400" s="2" t="s">
        <v>386</v>
      </c>
      <c r="B400" s="2" t="s">
        <v>388</v>
      </c>
      <c r="C400" s="2" t="s">
        <v>18</v>
      </c>
      <c r="D400" s="2" t="s">
        <v>351</v>
      </c>
      <c r="E400" s="2" t="s">
        <v>17</v>
      </c>
      <c r="F400" s="2">
        <v>69</v>
      </c>
      <c r="G400" s="2">
        <v>68</v>
      </c>
      <c r="H400" s="2">
        <v>64</v>
      </c>
      <c r="I400" s="2">
        <v>69</v>
      </c>
      <c r="J400" s="2">
        <v>76</v>
      </c>
      <c r="K400" s="2">
        <v>71</v>
      </c>
    </row>
    <row r="401" spans="1:11" x14ac:dyDescent="0.35">
      <c r="A401" s="2" t="s">
        <v>386</v>
      </c>
      <c r="B401" s="2" t="s">
        <v>387</v>
      </c>
      <c r="C401" s="2" t="s">
        <v>18</v>
      </c>
      <c r="D401" s="2" t="s">
        <v>351</v>
      </c>
      <c r="E401" s="2" t="s">
        <v>20</v>
      </c>
      <c r="F401" s="2">
        <v>63</v>
      </c>
      <c r="G401" s="2">
        <v>70</v>
      </c>
      <c r="H401" s="2">
        <v>69</v>
      </c>
      <c r="I401" s="2">
        <v>72</v>
      </c>
      <c r="J401" s="2">
        <v>77</v>
      </c>
      <c r="K401" s="2">
        <v>75</v>
      </c>
    </row>
    <row r="402" spans="1:11" x14ac:dyDescent="0.35">
      <c r="A402" s="2" t="s">
        <v>389</v>
      </c>
      <c r="B402" s="2" t="s">
        <v>390</v>
      </c>
      <c r="C402" s="2" t="s">
        <v>18</v>
      </c>
      <c r="D402" s="2" t="s">
        <v>351</v>
      </c>
      <c r="E402" s="2" t="s">
        <v>15</v>
      </c>
      <c r="F402" s="2">
        <v>53</v>
      </c>
      <c r="G402" s="2">
        <v>76</v>
      </c>
      <c r="H402" s="2">
        <v>60</v>
      </c>
      <c r="I402" s="2">
        <v>77</v>
      </c>
      <c r="J402" s="2">
        <v>59</v>
      </c>
      <c r="K402" s="2">
        <v>73</v>
      </c>
    </row>
    <row r="403" spans="1:11" x14ac:dyDescent="0.35">
      <c r="A403" s="2" t="s">
        <v>389</v>
      </c>
      <c r="B403" s="2" t="s">
        <v>390</v>
      </c>
      <c r="C403" s="2" t="s">
        <v>18</v>
      </c>
      <c r="D403" s="2" t="s">
        <v>351</v>
      </c>
      <c r="E403" s="2" t="s">
        <v>17</v>
      </c>
      <c r="F403" s="2">
        <v>59</v>
      </c>
      <c r="G403" s="2">
        <v>77</v>
      </c>
      <c r="H403" s="2">
        <v>60</v>
      </c>
      <c r="I403" s="2">
        <v>80</v>
      </c>
      <c r="J403" s="2">
        <v>65</v>
      </c>
      <c r="K403" s="2">
        <v>71</v>
      </c>
    </row>
    <row r="404" spans="1:11" x14ac:dyDescent="0.35">
      <c r="A404" s="2" t="s">
        <v>389</v>
      </c>
      <c r="B404" s="2" t="s">
        <v>390</v>
      </c>
      <c r="C404" s="2" t="s">
        <v>18</v>
      </c>
      <c r="D404" s="2" t="s">
        <v>351</v>
      </c>
      <c r="E404" s="2" t="s">
        <v>20</v>
      </c>
      <c r="F404" s="2">
        <v>54</v>
      </c>
      <c r="G404" s="2">
        <v>68</v>
      </c>
      <c r="H404" s="2">
        <v>64</v>
      </c>
      <c r="I404" s="2">
        <v>63</v>
      </c>
      <c r="J404" s="2">
        <v>59</v>
      </c>
      <c r="K404" s="2">
        <v>80</v>
      </c>
    </row>
    <row r="405" spans="1:11" x14ac:dyDescent="0.35">
      <c r="A405" s="2" t="s">
        <v>391</v>
      </c>
      <c r="B405" s="2" t="s">
        <v>392</v>
      </c>
      <c r="C405" s="2" t="s">
        <v>23</v>
      </c>
      <c r="D405" s="2" t="s">
        <v>351</v>
      </c>
      <c r="E405" s="2" t="s">
        <v>15</v>
      </c>
      <c r="F405" s="2">
        <v>59</v>
      </c>
      <c r="G405" s="2">
        <v>57</v>
      </c>
      <c r="H405" s="2">
        <v>59</v>
      </c>
      <c r="I405" s="2">
        <v>60</v>
      </c>
      <c r="J405" s="2">
        <v>65</v>
      </c>
      <c r="K405" s="2">
        <v>70</v>
      </c>
    </row>
    <row r="406" spans="1:11" x14ac:dyDescent="0.35">
      <c r="A406" s="2" t="s">
        <v>391</v>
      </c>
      <c r="B406" s="2" t="s">
        <v>392</v>
      </c>
      <c r="C406" s="2" t="s">
        <v>23</v>
      </c>
      <c r="D406" s="2" t="s">
        <v>351</v>
      </c>
      <c r="E406" s="2" t="s">
        <v>17</v>
      </c>
      <c r="F406" s="2">
        <v>58</v>
      </c>
      <c r="G406" s="2">
        <v>58</v>
      </c>
      <c r="H406" s="2">
        <v>58</v>
      </c>
      <c r="I406" s="2">
        <v>68</v>
      </c>
      <c r="J406" s="2">
        <v>61</v>
      </c>
      <c r="K406" s="2">
        <v>63</v>
      </c>
    </row>
    <row r="407" spans="1:11" x14ac:dyDescent="0.35">
      <c r="A407" s="2" t="s">
        <v>391</v>
      </c>
      <c r="B407" s="2" t="s">
        <v>392</v>
      </c>
      <c r="C407" s="2" t="s">
        <v>23</v>
      </c>
      <c r="D407" s="2" t="s">
        <v>351</v>
      </c>
      <c r="E407" s="2" t="s">
        <v>20</v>
      </c>
      <c r="F407" s="2">
        <v>55</v>
      </c>
      <c r="G407" s="2">
        <v>64</v>
      </c>
      <c r="H407" s="2">
        <v>56</v>
      </c>
      <c r="I407" s="2">
        <v>69</v>
      </c>
      <c r="J407" s="2">
        <v>64</v>
      </c>
      <c r="K407" s="2">
        <v>62</v>
      </c>
    </row>
    <row r="408" spans="1:11" x14ac:dyDescent="0.35">
      <c r="A408" s="2" t="s">
        <v>393</v>
      </c>
      <c r="B408" s="2" t="s">
        <v>394</v>
      </c>
      <c r="C408" s="2" t="s">
        <v>23</v>
      </c>
      <c r="D408" s="2" t="s">
        <v>352</v>
      </c>
      <c r="E408" s="2" t="s">
        <v>15</v>
      </c>
      <c r="F408" s="2">
        <v>63</v>
      </c>
      <c r="G408" s="2">
        <v>58</v>
      </c>
      <c r="H408" s="2">
        <v>54</v>
      </c>
      <c r="I408" s="2">
        <v>74</v>
      </c>
      <c r="J408" s="2">
        <v>60</v>
      </c>
      <c r="K408" s="2">
        <v>69</v>
      </c>
    </row>
    <row r="409" spans="1:11" x14ac:dyDescent="0.35">
      <c r="A409" s="2" t="s">
        <v>393</v>
      </c>
      <c r="B409" s="2" t="s">
        <v>395</v>
      </c>
      <c r="C409" s="2" t="s">
        <v>23</v>
      </c>
      <c r="D409" s="2" t="s">
        <v>351</v>
      </c>
      <c r="E409" s="2" t="s">
        <v>17</v>
      </c>
      <c r="F409" s="2">
        <v>77</v>
      </c>
      <c r="G409" s="2">
        <v>78</v>
      </c>
      <c r="H409" s="2">
        <v>68</v>
      </c>
      <c r="I409" s="2">
        <v>79</v>
      </c>
      <c r="J409" s="2">
        <v>70</v>
      </c>
      <c r="K409" s="2">
        <v>74</v>
      </c>
    </row>
    <row r="410" spans="1:11" x14ac:dyDescent="0.35">
      <c r="A410" s="2" t="s">
        <v>393</v>
      </c>
      <c r="B410" s="2" t="s">
        <v>396</v>
      </c>
      <c r="C410" s="2" t="s">
        <v>23</v>
      </c>
      <c r="D410" s="2" t="s">
        <v>351</v>
      </c>
      <c r="E410" s="2" t="s">
        <v>20</v>
      </c>
      <c r="F410" s="2">
        <v>76</v>
      </c>
      <c r="G410" s="2">
        <v>87</v>
      </c>
      <c r="H410" s="2">
        <v>81</v>
      </c>
      <c r="I410" s="2">
        <v>86</v>
      </c>
      <c r="J410" s="2">
        <v>83</v>
      </c>
      <c r="K410" s="2">
        <v>90</v>
      </c>
    </row>
    <row r="411" spans="1:11" x14ac:dyDescent="0.35">
      <c r="A411" s="2" t="s">
        <v>397</v>
      </c>
      <c r="B411" s="2" t="s">
        <v>398</v>
      </c>
      <c r="C411" s="2" t="s">
        <v>23</v>
      </c>
      <c r="D411" s="2" t="s">
        <v>351</v>
      </c>
      <c r="E411" s="2" t="s">
        <v>15</v>
      </c>
      <c r="F411" s="2">
        <v>67</v>
      </c>
      <c r="G411" s="2">
        <v>75</v>
      </c>
      <c r="H411" s="2">
        <v>68</v>
      </c>
      <c r="I411" s="2">
        <v>71</v>
      </c>
      <c r="J411" s="2">
        <v>74</v>
      </c>
      <c r="K411" s="2">
        <v>77</v>
      </c>
    </row>
    <row r="412" spans="1:11" x14ac:dyDescent="0.35">
      <c r="A412" s="2" t="s">
        <v>397</v>
      </c>
      <c r="B412" s="2" t="s">
        <v>398</v>
      </c>
      <c r="C412" s="2" t="s">
        <v>23</v>
      </c>
      <c r="D412" s="2" t="s">
        <v>351</v>
      </c>
      <c r="E412" s="2" t="s">
        <v>17</v>
      </c>
      <c r="F412" s="2">
        <v>63</v>
      </c>
      <c r="G412" s="2">
        <v>70</v>
      </c>
      <c r="H412" s="2">
        <v>66</v>
      </c>
      <c r="I412" s="2">
        <v>71</v>
      </c>
      <c r="J412" s="2">
        <v>90</v>
      </c>
      <c r="K412" s="2">
        <v>84</v>
      </c>
    </row>
    <row r="413" spans="1:11" x14ac:dyDescent="0.35">
      <c r="A413" s="2" t="s">
        <v>397</v>
      </c>
      <c r="B413" s="2" t="s">
        <v>398</v>
      </c>
      <c r="C413" s="2" t="s">
        <v>33</v>
      </c>
      <c r="D413" s="2" t="s">
        <v>351</v>
      </c>
      <c r="E413" s="2" t="s">
        <v>20</v>
      </c>
      <c r="F413" s="2">
        <v>67</v>
      </c>
      <c r="G413" s="2">
        <v>78</v>
      </c>
      <c r="H413" s="2">
        <v>78</v>
      </c>
      <c r="I413" s="2">
        <v>80</v>
      </c>
      <c r="J413" s="2">
        <v>75</v>
      </c>
      <c r="K413" s="2">
        <v>94</v>
      </c>
    </row>
    <row r="414" spans="1:11" x14ac:dyDescent="0.35">
      <c r="A414" s="2" t="s">
        <v>399</v>
      </c>
      <c r="B414" s="2" t="s">
        <v>400</v>
      </c>
      <c r="C414" s="2" t="s">
        <v>18</v>
      </c>
      <c r="D414" s="2" t="s">
        <v>351</v>
      </c>
      <c r="E414" s="2" t="s">
        <v>15</v>
      </c>
      <c r="F414" s="2">
        <v>34</v>
      </c>
      <c r="G414" s="2">
        <v>54</v>
      </c>
      <c r="H414" s="2">
        <v>46</v>
      </c>
      <c r="I414" s="2">
        <v>45</v>
      </c>
      <c r="J414" s="2">
        <v>51</v>
      </c>
      <c r="K414" s="2">
        <v>41</v>
      </c>
    </row>
    <row r="415" spans="1:11" x14ac:dyDescent="0.35">
      <c r="A415" s="2" t="s">
        <v>399</v>
      </c>
      <c r="B415" s="2" t="s">
        <v>400</v>
      </c>
      <c r="C415" s="2" t="s">
        <v>18</v>
      </c>
      <c r="D415" s="2" t="s">
        <v>351</v>
      </c>
      <c r="E415" s="2" t="s">
        <v>17</v>
      </c>
      <c r="F415" s="2">
        <v>43</v>
      </c>
      <c r="G415" s="2">
        <v>52</v>
      </c>
      <c r="H415" s="2">
        <v>41</v>
      </c>
      <c r="I415" s="2">
        <v>52</v>
      </c>
      <c r="J415" s="2">
        <v>33</v>
      </c>
      <c r="K415" s="2">
        <v>49</v>
      </c>
    </row>
    <row r="416" spans="1:11" x14ac:dyDescent="0.35">
      <c r="A416" s="2" t="s">
        <v>399</v>
      </c>
      <c r="B416" s="2" t="s">
        <v>400</v>
      </c>
      <c r="C416" s="2" t="s">
        <v>18</v>
      </c>
      <c r="D416" s="2" t="s">
        <v>381</v>
      </c>
      <c r="E416" s="2" t="s">
        <v>20</v>
      </c>
      <c r="F416" s="2">
        <v>31</v>
      </c>
      <c r="G416" s="2">
        <v>52</v>
      </c>
      <c r="H416" s="2">
        <v>45</v>
      </c>
      <c r="I416" s="2">
        <v>49</v>
      </c>
      <c r="J416" s="2">
        <v>49</v>
      </c>
      <c r="K416" s="2">
        <v>50</v>
      </c>
    </row>
    <row r="417" spans="1:11" x14ac:dyDescent="0.35">
      <c r="A417" s="2" t="s">
        <v>401</v>
      </c>
      <c r="B417" s="2" t="s">
        <v>402</v>
      </c>
      <c r="C417" s="2" t="s">
        <v>23</v>
      </c>
      <c r="D417" s="2" t="s">
        <v>351</v>
      </c>
      <c r="E417" s="2" t="s">
        <v>15</v>
      </c>
      <c r="F417" s="2">
        <v>41</v>
      </c>
      <c r="G417" s="2">
        <v>34</v>
      </c>
      <c r="H417" s="2">
        <v>46</v>
      </c>
      <c r="I417" s="2">
        <v>49</v>
      </c>
      <c r="J417" s="2">
        <v>52</v>
      </c>
      <c r="K417" s="2">
        <v>45</v>
      </c>
    </row>
    <row r="418" spans="1:11" x14ac:dyDescent="0.35">
      <c r="A418" s="2" t="s">
        <v>401</v>
      </c>
      <c r="B418" s="2" t="s">
        <v>403</v>
      </c>
      <c r="C418" s="2" t="s">
        <v>30</v>
      </c>
      <c r="D418" s="2" t="s">
        <v>351</v>
      </c>
      <c r="E418" s="2" t="s">
        <v>17</v>
      </c>
      <c r="F418" s="2">
        <v>49</v>
      </c>
      <c r="G418" s="2">
        <v>55</v>
      </c>
      <c r="H418" s="2">
        <v>49</v>
      </c>
      <c r="I418" s="2">
        <v>58</v>
      </c>
      <c r="J418" s="2">
        <v>48</v>
      </c>
      <c r="K418" s="2">
        <v>53</v>
      </c>
    </row>
    <row r="419" spans="1:11" x14ac:dyDescent="0.35">
      <c r="A419" s="2" t="s">
        <v>401</v>
      </c>
      <c r="B419" s="2" t="s">
        <v>404</v>
      </c>
      <c r="C419" s="2" t="s">
        <v>23</v>
      </c>
      <c r="D419" s="2" t="s">
        <v>381</v>
      </c>
      <c r="E419" s="2" t="s">
        <v>20</v>
      </c>
      <c r="F419" s="2">
        <v>57</v>
      </c>
      <c r="G419" s="2">
        <v>68</v>
      </c>
      <c r="H419" s="2">
        <v>40</v>
      </c>
      <c r="I419" s="2">
        <v>63</v>
      </c>
      <c r="J419" s="2">
        <v>49</v>
      </c>
      <c r="K419" s="2">
        <v>61</v>
      </c>
    </row>
    <row r="420" spans="1:11" x14ac:dyDescent="0.35">
      <c r="A420" s="2" t="s">
        <v>405</v>
      </c>
      <c r="B420" s="2" t="s">
        <v>406</v>
      </c>
      <c r="C420" s="2" t="s">
        <v>18</v>
      </c>
      <c r="D420" s="2" t="s">
        <v>351</v>
      </c>
      <c r="E420" s="2" t="s">
        <v>15</v>
      </c>
      <c r="F420" s="2">
        <v>45</v>
      </c>
      <c r="G420" s="2">
        <v>57</v>
      </c>
      <c r="H420" s="2">
        <v>51</v>
      </c>
      <c r="I420" s="2">
        <v>61</v>
      </c>
      <c r="J420" s="2">
        <v>64</v>
      </c>
      <c r="K420" s="2">
        <v>59</v>
      </c>
    </row>
    <row r="421" spans="1:11" x14ac:dyDescent="0.35">
      <c r="A421" s="2" t="s">
        <v>405</v>
      </c>
      <c r="B421" s="2" t="s">
        <v>406</v>
      </c>
      <c r="C421" s="2" t="s">
        <v>18</v>
      </c>
      <c r="D421" s="2" t="s">
        <v>351</v>
      </c>
      <c r="E421" s="2" t="s">
        <v>17</v>
      </c>
      <c r="F421" s="2">
        <v>61</v>
      </c>
      <c r="G421" s="2">
        <v>60</v>
      </c>
      <c r="H421" s="2">
        <v>65</v>
      </c>
      <c r="I421" s="2">
        <v>74</v>
      </c>
      <c r="J421" s="2">
        <v>68</v>
      </c>
      <c r="K421" s="2">
        <v>70</v>
      </c>
    </row>
    <row r="422" spans="1:11" x14ac:dyDescent="0.35">
      <c r="A422" s="2" t="s">
        <v>405</v>
      </c>
      <c r="B422" s="2" t="s">
        <v>406</v>
      </c>
      <c r="C422" s="2" t="s">
        <v>18</v>
      </c>
      <c r="D422" s="2" t="s">
        <v>351</v>
      </c>
      <c r="E422" s="2" t="s">
        <v>20</v>
      </c>
      <c r="F422" s="2">
        <v>51</v>
      </c>
      <c r="G422" s="2">
        <v>64</v>
      </c>
      <c r="H422" s="2">
        <v>63</v>
      </c>
      <c r="I422" s="2">
        <v>71</v>
      </c>
      <c r="J422" s="2">
        <v>63</v>
      </c>
      <c r="K422" s="2">
        <v>66</v>
      </c>
    </row>
    <row r="423" spans="1:11" x14ac:dyDescent="0.35">
      <c r="A423" s="2" t="s">
        <v>407</v>
      </c>
      <c r="B423" s="2" t="s">
        <v>408</v>
      </c>
      <c r="C423" s="2" t="s">
        <v>30</v>
      </c>
      <c r="D423" s="2" t="s">
        <v>351</v>
      </c>
      <c r="E423" s="2" t="s">
        <v>15</v>
      </c>
      <c r="F423" s="2">
        <v>43</v>
      </c>
      <c r="G423" s="2">
        <v>51</v>
      </c>
      <c r="H423" s="2">
        <v>54</v>
      </c>
      <c r="I423" s="2">
        <v>62</v>
      </c>
      <c r="J423" s="2">
        <v>57</v>
      </c>
      <c r="K423" s="2">
        <v>53</v>
      </c>
    </row>
    <row r="424" spans="1:11" x14ac:dyDescent="0.35">
      <c r="A424" s="2" t="s">
        <v>407</v>
      </c>
      <c r="B424" s="2" t="s">
        <v>408</v>
      </c>
      <c r="C424" s="2" t="s">
        <v>23</v>
      </c>
      <c r="D424" s="2" t="s">
        <v>351</v>
      </c>
      <c r="E424" s="2" t="s">
        <v>17</v>
      </c>
      <c r="F424" s="2">
        <v>48</v>
      </c>
      <c r="G424" s="2">
        <v>44</v>
      </c>
      <c r="H424" s="2">
        <v>49</v>
      </c>
      <c r="I424" s="2">
        <v>65</v>
      </c>
      <c r="J424" s="2">
        <v>64</v>
      </c>
      <c r="K424" s="2">
        <v>53</v>
      </c>
    </row>
    <row r="425" spans="1:11" x14ac:dyDescent="0.35">
      <c r="A425" s="2" t="s">
        <v>407</v>
      </c>
      <c r="B425" s="2" t="s">
        <v>408</v>
      </c>
      <c r="C425" s="2" t="s">
        <v>30</v>
      </c>
      <c r="D425" s="2" t="s">
        <v>352</v>
      </c>
      <c r="E425" s="2" t="s">
        <v>20</v>
      </c>
      <c r="F425" s="2">
        <v>51</v>
      </c>
      <c r="G425" s="2">
        <v>47</v>
      </c>
      <c r="H425" s="2">
        <v>44</v>
      </c>
      <c r="I425" s="2">
        <v>42</v>
      </c>
      <c r="J425" s="2">
        <v>58</v>
      </c>
      <c r="K425" s="2">
        <v>58</v>
      </c>
    </row>
    <row r="426" spans="1:11" x14ac:dyDescent="0.35">
      <c r="A426" s="2" t="s">
        <v>409</v>
      </c>
      <c r="B426" s="2" t="s">
        <v>410</v>
      </c>
      <c r="C426" s="2" t="s">
        <v>33</v>
      </c>
      <c r="D426" s="2" t="s">
        <v>351</v>
      </c>
      <c r="E426" s="2" t="s">
        <v>15</v>
      </c>
      <c r="F426" s="2">
        <v>61</v>
      </c>
      <c r="G426" s="2">
        <v>65</v>
      </c>
      <c r="H426" s="2">
        <v>56</v>
      </c>
      <c r="I426" s="2">
        <v>69</v>
      </c>
      <c r="J426" s="2">
        <v>77</v>
      </c>
      <c r="K426" s="2">
        <v>82</v>
      </c>
    </row>
    <row r="427" spans="1:11" x14ac:dyDescent="0.35">
      <c r="A427" s="2" t="s">
        <v>409</v>
      </c>
      <c r="B427" s="2" t="s">
        <v>410</v>
      </c>
      <c r="C427" s="2" t="s">
        <v>23</v>
      </c>
      <c r="D427" s="2" t="s">
        <v>351</v>
      </c>
      <c r="E427" s="2" t="s">
        <v>17</v>
      </c>
      <c r="F427" s="2">
        <v>64</v>
      </c>
      <c r="G427" s="2">
        <v>67</v>
      </c>
      <c r="H427" s="2">
        <v>66</v>
      </c>
      <c r="I427" s="2">
        <v>68</v>
      </c>
      <c r="J427" s="2">
        <v>65</v>
      </c>
      <c r="K427" s="2">
        <v>82</v>
      </c>
    </row>
    <row r="428" spans="1:11" x14ac:dyDescent="0.35">
      <c r="A428" s="2" t="s">
        <v>409</v>
      </c>
      <c r="B428" s="2" t="s">
        <v>410</v>
      </c>
      <c r="C428" s="2" t="s">
        <v>23</v>
      </c>
      <c r="D428" s="2" t="s">
        <v>351</v>
      </c>
      <c r="E428" s="2" t="s">
        <v>20</v>
      </c>
      <c r="F428" s="2">
        <v>69</v>
      </c>
      <c r="G428" s="2">
        <v>71</v>
      </c>
      <c r="H428" s="2">
        <v>79</v>
      </c>
      <c r="I428" s="2">
        <v>79</v>
      </c>
      <c r="J428" s="2">
        <v>65</v>
      </c>
      <c r="K428" s="2">
        <v>85</v>
      </c>
    </row>
    <row r="429" spans="1:11" x14ac:dyDescent="0.35">
      <c r="A429" s="2" t="s">
        <v>411</v>
      </c>
      <c r="B429" s="2" t="s">
        <v>412</v>
      </c>
      <c r="C429" s="2" t="s">
        <v>16</v>
      </c>
      <c r="D429" s="2" t="s">
        <v>351</v>
      </c>
      <c r="E429" s="2" t="s">
        <v>15</v>
      </c>
      <c r="F429" s="2">
        <v>50</v>
      </c>
      <c r="G429" s="2">
        <v>50</v>
      </c>
      <c r="H429" s="2">
        <v>59</v>
      </c>
      <c r="I429" s="2">
        <v>60</v>
      </c>
      <c r="J429" s="2">
        <v>58</v>
      </c>
      <c r="K429" s="2">
        <v>76</v>
      </c>
    </row>
    <row r="430" spans="1:11" x14ac:dyDescent="0.35">
      <c r="A430" s="2" t="s">
        <v>411</v>
      </c>
      <c r="B430" s="2" t="s">
        <v>412</v>
      </c>
      <c r="C430" s="2" t="s">
        <v>16</v>
      </c>
      <c r="D430" s="2" t="s">
        <v>351</v>
      </c>
      <c r="E430" s="2" t="s">
        <v>17</v>
      </c>
      <c r="F430" s="2">
        <v>56</v>
      </c>
      <c r="G430" s="2">
        <v>62</v>
      </c>
      <c r="H430" s="2">
        <v>58</v>
      </c>
      <c r="I430" s="2">
        <v>62</v>
      </c>
      <c r="J430" s="2">
        <v>67</v>
      </c>
      <c r="K430" s="2">
        <v>66</v>
      </c>
    </row>
    <row r="431" spans="1:11" x14ac:dyDescent="0.35">
      <c r="A431" s="2" t="s">
        <v>411</v>
      </c>
      <c r="B431" s="2" t="s">
        <v>412</v>
      </c>
      <c r="C431" s="2" t="s">
        <v>18</v>
      </c>
      <c r="D431" s="2" t="s">
        <v>351</v>
      </c>
      <c r="E431" s="2" t="s">
        <v>20</v>
      </c>
      <c r="F431" s="2">
        <v>81</v>
      </c>
      <c r="G431" s="2">
        <v>57</v>
      </c>
      <c r="H431" s="2">
        <v>64</v>
      </c>
      <c r="I431" s="2">
        <v>64</v>
      </c>
      <c r="J431" s="2">
        <v>64</v>
      </c>
      <c r="K431" s="2">
        <v>66</v>
      </c>
    </row>
    <row r="432" spans="1:11" x14ac:dyDescent="0.35">
      <c r="A432" s="2" t="s">
        <v>413</v>
      </c>
      <c r="B432" s="2" t="s">
        <v>414</v>
      </c>
      <c r="C432" s="2" t="s">
        <v>18</v>
      </c>
      <c r="D432" s="2" t="s">
        <v>351</v>
      </c>
      <c r="E432" s="2" t="s">
        <v>15</v>
      </c>
      <c r="F432" s="2">
        <v>53</v>
      </c>
      <c r="G432" s="2">
        <v>65</v>
      </c>
      <c r="H432" s="2">
        <v>65</v>
      </c>
      <c r="I432" s="2">
        <v>67</v>
      </c>
      <c r="J432" s="2">
        <v>60</v>
      </c>
      <c r="K432" s="2">
        <v>78</v>
      </c>
    </row>
    <row r="433" spans="1:11" x14ac:dyDescent="0.35">
      <c r="A433" s="2" t="s">
        <v>413</v>
      </c>
      <c r="B433" s="2" t="s">
        <v>414</v>
      </c>
      <c r="C433" s="2" t="s">
        <v>18</v>
      </c>
      <c r="D433" s="2" t="s">
        <v>381</v>
      </c>
      <c r="E433" s="2" t="s">
        <v>17</v>
      </c>
      <c r="F433" s="2">
        <v>68</v>
      </c>
      <c r="G433" s="2">
        <v>74</v>
      </c>
      <c r="H433" s="2">
        <v>56</v>
      </c>
      <c r="I433" s="2">
        <v>69</v>
      </c>
      <c r="J433" s="2">
        <v>70</v>
      </c>
      <c r="K433" s="2">
        <v>71</v>
      </c>
    </row>
    <row r="434" spans="1:11" x14ac:dyDescent="0.35">
      <c r="A434" s="2" t="s">
        <v>413</v>
      </c>
      <c r="B434" s="2" t="s">
        <v>414</v>
      </c>
      <c r="C434" s="2" t="s">
        <v>37</v>
      </c>
      <c r="D434" s="2" t="s">
        <v>351</v>
      </c>
      <c r="E434" s="2" t="s">
        <v>20</v>
      </c>
      <c r="F434" s="2">
        <v>62</v>
      </c>
      <c r="G434" s="2">
        <v>68</v>
      </c>
      <c r="H434" s="2">
        <v>60</v>
      </c>
      <c r="I434" s="2">
        <v>75</v>
      </c>
      <c r="J434" s="2">
        <v>78</v>
      </c>
      <c r="K434" s="2">
        <v>74</v>
      </c>
    </row>
    <row r="435" spans="1:11" x14ac:dyDescent="0.35">
      <c r="A435" s="2" t="s">
        <v>415</v>
      </c>
      <c r="B435" s="2" t="s">
        <v>416</v>
      </c>
      <c r="C435" s="2" t="s">
        <v>18</v>
      </c>
      <c r="D435" s="2" t="s">
        <v>417</v>
      </c>
      <c r="E435" s="2" t="s">
        <v>15</v>
      </c>
      <c r="F435" s="2">
        <v>39</v>
      </c>
      <c r="G435" s="2">
        <v>48</v>
      </c>
      <c r="H435" s="2">
        <v>52</v>
      </c>
      <c r="I435" s="2">
        <v>47</v>
      </c>
      <c r="J435" s="2">
        <v>54</v>
      </c>
      <c r="K435" s="2">
        <v>46</v>
      </c>
    </row>
    <row r="436" spans="1:11" x14ac:dyDescent="0.35">
      <c r="A436" s="2" t="s">
        <v>415</v>
      </c>
      <c r="B436" s="2" t="s">
        <v>416</v>
      </c>
      <c r="C436" s="2" t="s">
        <v>16</v>
      </c>
      <c r="D436" s="2" t="s">
        <v>351</v>
      </c>
      <c r="E436" s="2" t="s">
        <v>17</v>
      </c>
      <c r="F436" s="2">
        <v>44</v>
      </c>
      <c r="G436" s="2">
        <v>38</v>
      </c>
      <c r="H436" s="2">
        <v>37</v>
      </c>
      <c r="I436" s="2">
        <v>65</v>
      </c>
      <c r="J436" s="2">
        <v>52</v>
      </c>
      <c r="K436" s="2">
        <v>61</v>
      </c>
    </row>
    <row r="437" spans="1:11" x14ac:dyDescent="0.35">
      <c r="A437" s="2" t="s">
        <v>415</v>
      </c>
      <c r="B437" s="2" t="s">
        <v>418</v>
      </c>
      <c r="C437" s="2" t="s">
        <v>18</v>
      </c>
      <c r="D437" s="2" t="s">
        <v>351</v>
      </c>
      <c r="E437" s="2" t="s">
        <v>20</v>
      </c>
      <c r="F437" s="2">
        <v>25</v>
      </c>
      <c r="G437" s="2">
        <v>48</v>
      </c>
      <c r="H437" s="2">
        <v>46</v>
      </c>
      <c r="I437" s="2">
        <v>49</v>
      </c>
      <c r="J437" s="2">
        <v>55</v>
      </c>
      <c r="K437" s="2">
        <v>50</v>
      </c>
    </row>
    <row r="438" spans="1:11" x14ac:dyDescent="0.35">
      <c r="A438" s="2" t="s">
        <v>419</v>
      </c>
      <c r="B438" s="2" t="s">
        <v>420</v>
      </c>
      <c r="C438" s="2" t="s">
        <v>30</v>
      </c>
      <c r="D438" s="2" t="s">
        <v>351</v>
      </c>
      <c r="E438" s="2" t="s">
        <v>15</v>
      </c>
      <c r="F438" s="2">
        <v>59</v>
      </c>
      <c r="G438" s="2">
        <v>61</v>
      </c>
      <c r="H438" s="2">
        <v>46</v>
      </c>
      <c r="I438" s="2">
        <v>63</v>
      </c>
      <c r="J438" s="2">
        <v>62</v>
      </c>
      <c r="K438" s="2">
        <v>74</v>
      </c>
    </row>
    <row r="439" spans="1:11" x14ac:dyDescent="0.35">
      <c r="A439" s="2" t="s">
        <v>419</v>
      </c>
      <c r="B439" s="2" t="s">
        <v>420</v>
      </c>
      <c r="C439" s="2" t="s">
        <v>23</v>
      </c>
      <c r="D439" s="2" t="s">
        <v>351</v>
      </c>
      <c r="E439" s="2" t="s">
        <v>17</v>
      </c>
      <c r="F439" s="2">
        <v>59</v>
      </c>
      <c r="G439" s="2">
        <v>50</v>
      </c>
      <c r="H439" s="2">
        <v>51</v>
      </c>
      <c r="I439" s="2">
        <v>68</v>
      </c>
      <c r="J439" s="2">
        <v>53</v>
      </c>
      <c r="K439" s="2">
        <v>68</v>
      </c>
    </row>
    <row r="440" spans="1:11" x14ac:dyDescent="0.35">
      <c r="A440" s="2" t="s">
        <v>419</v>
      </c>
      <c r="B440" s="2" t="s">
        <v>420</v>
      </c>
      <c r="C440" s="2" t="s">
        <v>23</v>
      </c>
      <c r="D440" s="2" t="s">
        <v>381</v>
      </c>
      <c r="E440" s="2" t="s">
        <v>20</v>
      </c>
      <c r="F440" s="2">
        <v>49</v>
      </c>
      <c r="G440" s="2">
        <v>63</v>
      </c>
      <c r="H440" s="2">
        <v>62</v>
      </c>
      <c r="I440" s="2">
        <v>65</v>
      </c>
      <c r="J440" s="2">
        <v>59</v>
      </c>
      <c r="K440" s="2">
        <v>66</v>
      </c>
    </row>
    <row r="441" spans="1:11" x14ac:dyDescent="0.35">
      <c r="A441" s="2" t="s">
        <v>421</v>
      </c>
      <c r="B441" s="2" t="s">
        <v>422</v>
      </c>
      <c r="C441" s="2" t="s">
        <v>18</v>
      </c>
      <c r="D441" s="2" t="s">
        <v>351</v>
      </c>
      <c r="E441" s="2" t="s">
        <v>15</v>
      </c>
      <c r="F441" s="2">
        <v>67</v>
      </c>
      <c r="G441" s="2">
        <v>63</v>
      </c>
      <c r="H441" s="2">
        <v>66</v>
      </c>
      <c r="I441" s="2">
        <v>79</v>
      </c>
      <c r="J441" s="2">
        <v>82</v>
      </c>
      <c r="K441" s="2">
        <v>81</v>
      </c>
    </row>
    <row r="442" spans="1:11" x14ac:dyDescent="0.35">
      <c r="A442" s="2" t="s">
        <v>421</v>
      </c>
      <c r="B442" s="2" t="s">
        <v>423</v>
      </c>
      <c r="C442" s="2" t="s">
        <v>18</v>
      </c>
      <c r="D442" s="2" t="s">
        <v>351</v>
      </c>
      <c r="E442" s="2" t="s">
        <v>17</v>
      </c>
      <c r="F442" s="2">
        <v>59</v>
      </c>
      <c r="G442" s="2">
        <v>65</v>
      </c>
      <c r="H442" s="2">
        <v>61</v>
      </c>
      <c r="I442" s="2">
        <v>63</v>
      </c>
      <c r="J442" s="2">
        <v>67</v>
      </c>
      <c r="K442" s="2">
        <v>60</v>
      </c>
    </row>
    <row r="443" spans="1:11" x14ac:dyDescent="0.35">
      <c r="A443" s="2" t="s">
        <v>421</v>
      </c>
      <c r="B443" s="2" t="s">
        <v>424</v>
      </c>
      <c r="C443" s="2" t="s">
        <v>37</v>
      </c>
      <c r="D443" s="2" t="s">
        <v>351</v>
      </c>
      <c r="E443" s="2" t="s">
        <v>20</v>
      </c>
      <c r="F443" s="2">
        <v>62</v>
      </c>
      <c r="G443" s="2">
        <v>62</v>
      </c>
      <c r="H443" s="2">
        <v>70</v>
      </c>
      <c r="I443" s="2">
        <v>74</v>
      </c>
      <c r="J443" s="2">
        <v>77</v>
      </c>
      <c r="K443" s="2">
        <v>64</v>
      </c>
    </row>
    <row r="444" spans="1:11" x14ac:dyDescent="0.35">
      <c r="A444" s="2" t="s">
        <v>425</v>
      </c>
      <c r="B444" s="2" t="s">
        <v>426</v>
      </c>
      <c r="C444" s="2" t="s">
        <v>18</v>
      </c>
      <c r="D444" s="2" t="s">
        <v>351</v>
      </c>
      <c r="E444" s="2" t="s">
        <v>15</v>
      </c>
      <c r="F444" s="2">
        <v>50</v>
      </c>
      <c r="G444" s="2">
        <v>52</v>
      </c>
      <c r="H444" s="2">
        <v>45</v>
      </c>
      <c r="I444" s="2">
        <v>56</v>
      </c>
      <c r="J444" s="2">
        <v>56</v>
      </c>
      <c r="K444" s="2">
        <v>71</v>
      </c>
    </row>
    <row r="445" spans="1:11" x14ac:dyDescent="0.35">
      <c r="A445" s="2" t="s">
        <v>425</v>
      </c>
      <c r="B445" s="2" t="s">
        <v>426</v>
      </c>
      <c r="C445" s="2" t="s">
        <v>37</v>
      </c>
      <c r="D445" s="2" t="s">
        <v>381</v>
      </c>
      <c r="E445" s="2" t="s">
        <v>17</v>
      </c>
      <c r="F445" s="2">
        <v>33</v>
      </c>
      <c r="G445" s="2">
        <v>62</v>
      </c>
      <c r="H445" s="2">
        <v>55</v>
      </c>
      <c r="I445" s="2">
        <v>58</v>
      </c>
      <c r="J445" s="2">
        <v>60</v>
      </c>
      <c r="K445" s="2">
        <v>68</v>
      </c>
    </row>
    <row r="446" spans="1:11" x14ac:dyDescent="0.35">
      <c r="A446" s="2" t="s">
        <v>425</v>
      </c>
      <c r="B446" s="2" t="s">
        <v>426</v>
      </c>
      <c r="C446" s="2" t="s">
        <v>18</v>
      </c>
      <c r="D446" s="2" t="s">
        <v>351</v>
      </c>
      <c r="E446" s="2" t="s">
        <v>20</v>
      </c>
      <c r="F446" s="2">
        <v>53</v>
      </c>
      <c r="G446" s="2">
        <v>76</v>
      </c>
      <c r="H446" s="2">
        <v>59</v>
      </c>
      <c r="I446" s="2">
        <v>59</v>
      </c>
      <c r="J446" s="2">
        <v>60</v>
      </c>
      <c r="K446" s="2">
        <v>64</v>
      </c>
    </row>
    <row r="447" spans="1:11" x14ac:dyDescent="0.35">
      <c r="A447" s="2" t="s">
        <v>427</v>
      </c>
      <c r="B447" s="2" t="s">
        <v>428</v>
      </c>
      <c r="C447" s="2" t="s">
        <v>37</v>
      </c>
      <c r="D447" s="2" t="s">
        <v>351</v>
      </c>
      <c r="E447" s="2" t="s">
        <v>15</v>
      </c>
      <c r="F447" s="2">
        <v>69</v>
      </c>
      <c r="G447" s="2">
        <v>67</v>
      </c>
      <c r="H447" s="2">
        <v>71</v>
      </c>
      <c r="I447" s="2">
        <v>58</v>
      </c>
      <c r="J447" s="2">
        <v>64</v>
      </c>
      <c r="K447" s="2">
        <v>70</v>
      </c>
    </row>
    <row r="448" spans="1:11" x14ac:dyDescent="0.35">
      <c r="A448" s="2" t="s">
        <v>427</v>
      </c>
      <c r="B448" s="2" t="s">
        <v>428</v>
      </c>
      <c r="C448" s="2" t="s">
        <v>16</v>
      </c>
      <c r="D448" s="2" t="s">
        <v>381</v>
      </c>
      <c r="E448" s="2" t="s">
        <v>17</v>
      </c>
      <c r="F448" s="2">
        <v>61</v>
      </c>
      <c r="G448" s="2">
        <v>73</v>
      </c>
      <c r="H448" s="2">
        <v>74</v>
      </c>
      <c r="I448" s="2">
        <v>69</v>
      </c>
      <c r="J448" s="2">
        <v>52</v>
      </c>
      <c r="K448" s="2">
        <v>68</v>
      </c>
    </row>
    <row r="449" spans="1:11" x14ac:dyDescent="0.35">
      <c r="A449" s="2" t="s">
        <v>427</v>
      </c>
      <c r="B449" s="2" t="s">
        <v>428</v>
      </c>
      <c r="C449" s="2" t="s">
        <v>18</v>
      </c>
      <c r="D449" s="2" t="s">
        <v>351</v>
      </c>
      <c r="E449" s="2" t="s">
        <v>20</v>
      </c>
      <c r="F449" s="2">
        <v>59</v>
      </c>
      <c r="G449" s="2">
        <v>77</v>
      </c>
      <c r="H449" s="2">
        <v>85</v>
      </c>
      <c r="I449" s="2">
        <v>78</v>
      </c>
      <c r="J449" s="2">
        <v>90</v>
      </c>
      <c r="K449" s="2">
        <v>81</v>
      </c>
    </row>
    <row r="450" spans="1:11" x14ac:dyDescent="0.35">
      <c r="A450" s="2" t="s">
        <v>429</v>
      </c>
      <c r="B450" s="2" t="s">
        <v>430</v>
      </c>
      <c r="C450" s="2" t="s">
        <v>23</v>
      </c>
      <c r="D450" s="2" t="s">
        <v>351</v>
      </c>
      <c r="E450" s="2" t="s">
        <v>15</v>
      </c>
      <c r="F450" s="2">
        <v>49</v>
      </c>
      <c r="G450" s="2">
        <v>49</v>
      </c>
      <c r="H450" s="2">
        <v>50</v>
      </c>
      <c r="I450" s="2">
        <v>44</v>
      </c>
      <c r="J450" s="2">
        <v>49</v>
      </c>
      <c r="K450" s="2">
        <v>64</v>
      </c>
    </row>
    <row r="451" spans="1:11" x14ac:dyDescent="0.35">
      <c r="A451" s="2" t="s">
        <v>429</v>
      </c>
      <c r="B451" s="2" t="s">
        <v>430</v>
      </c>
      <c r="C451" s="2" t="s">
        <v>23</v>
      </c>
      <c r="D451" s="2" t="s">
        <v>381</v>
      </c>
      <c r="E451" s="2" t="s">
        <v>17</v>
      </c>
      <c r="F451" s="2">
        <v>52</v>
      </c>
      <c r="G451" s="2">
        <v>42</v>
      </c>
      <c r="H451" s="2">
        <v>57</v>
      </c>
      <c r="I451" s="2">
        <v>63</v>
      </c>
      <c r="J451" s="2">
        <v>53</v>
      </c>
      <c r="K451" s="2">
        <v>59</v>
      </c>
    </row>
    <row r="452" spans="1:11" x14ac:dyDescent="0.35">
      <c r="A452" s="2" t="s">
        <v>429</v>
      </c>
      <c r="B452" s="2" t="s">
        <v>430</v>
      </c>
      <c r="C452" s="2" t="s">
        <v>23</v>
      </c>
      <c r="D452" s="2" t="s">
        <v>352</v>
      </c>
      <c r="E452" s="2" t="s">
        <v>20</v>
      </c>
      <c r="F452" s="2">
        <v>45</v>
      </c>
      <c r="G452" s="2">
        <v>57</v>
      </c>
      <c r="H452" s="2">
        <v>54</v>
      </c>
      <c r="I452" s="2">
        <v>55</v>
      </c>
      <c r="J452" s="2">
        <v>59</v>
      </c>
      <c r="K452" s="2">
        <v>57</v>
      </c>
    </row>
    <row r="453" spans="1:11" x14ac:dyDescent="0.35">
      <c r="A453" s="2" t="s">
        <v>431</v>
      </c>
      <c r="B453" s="2" t="s">
        <v>432</v>
      </c>
      <c r="C453" s="2" t="s">
        <v>23</v>
      </c>
      <c r="D453" s="2" t="s">
        <v>351</v>
      </c>
      <c r="E453" s="2" t="s">
        <v>15</v>
      </c>
      <c r="F453" s="2">
        <v>82</v>
      </c>
      <c r="G453" s="2">
        <v>79</v>
      </c>
      <c r="H453" s="2">
        <v>84</v>
      </c>
      <c r="I453" s="2">
        <v>88</v>
      </c>
      <c r="J453" s="2">
        <v>82</v>
      </c>
      <c r="K453" s="2">
        <v>86</v>
      </c>
    </row>
    <row r="454" spans="1:11" x14ac:dyDescent="0.35">
      <c r="A454" s="2" t="s">
        <v>431</v>
      </c>
      <c r="B454" s="2" t="s">
        <v>432</v>
      </c>
      <c r="C454" s="2" t="s">
        <v>23</v>
      </c>
      <c r="D454" s="2" t="s">
        <v>351</v>
      </c>
      <c r="E454" s="2" t="s">
        <v>17</v>
      </c>
      <c r="F454" s="2">
        <v>76</v>
      </c>
      <c r="G454" s="2">
        <v>90</v>
      </c>
      <c r="H454" s="2">
        <v>74</v>
      </c>
      <c r="I454" s="2">
        <v>82</v>
      </c>
      <c r="J454" s="2">
        <v>83</v>
      </c>
      <c r="K454" s="2">
        <v>74</v>
      </c>
    </row>
    <row r="455" spans="1:11" x14ac:dyDescent="0.35">
      <c r="A455" s="2" t="s">
        <v>431</v>
      </c>
      <c r="B455" s="2" t="s">
        <v>432</v>
      </c>
      <c r="C455" s="2" t="s">
        <v>23</v>
      </c>
      <c r="D455" s="2" t="s">
        <v>351</v>
      </c>
      <c r="E455" s="2" t="s">
        <v>20</v>
      </c>
      <c r="F455" s="2">
        <v>70</v>
      </c>
      <c r="G455" s="2">
        <v>82</v>
      </c>
      <c r="H455" s="2">
        <v>80</v>
      </c>
      <c r="I455" s="2">
        <v>77</v>
      </c>
      <c r="J455" s="2">
        <v>85</v>
      </c>
      <c r="K455" s="2">
        <v>81</v>
      </c>
    </row>
    <row r="456" spans="1:11" x14ac:dyDescent="0.35">
      <c r="A456" s="2" t="s">
        <v>433</v>
      </c>
      <c r="B456" s="2" t="s">
        <v>434</v>
      </c>
      <c r="C456" s="2" t="s">
        <v>23</v>
      </c>
      <c r="D456" s="2" t="s">
        <v>351</v>
      </c>
      <c r="E456" s="2" t="s">
        <v>15</v>
      </c>
      <c r="F456" s="2">
        <v>45</v>
      </c>
      <c r="G456" s="2">
        <v>55</v>
      </c>
      <c r="H456" s="2">
        <v>42</v>
      </c>
      <c r="I456" s="2">
        <v>55</v>
      </c>
      <c r="J456" s="2">
        <v>41</v>
      </c>
      <c r="K456" s="2">
        <v>61</v>
      </c>
    </row>
    <row r="457" spans="1:11" x14ac:dyDescent="0.35">
      <c r="A457" s="2" t="s">
        <v>433</v>
      </c>
      <c r="B457" s="2" t="s">
        <v>434</v>
      </c>
      <c r="C457" s="2" t="s">
        <v>23</v>
      </c>
      <c r="D457" s="2" t="s">
        <v>351</v>
      </c>
      <c r="E457" s="2" t="s">
        <v>17</v>
      </c>
      <c r="F457" s="2">
        <v>31</v>
      </c>
      <c r="G457" s="2">
        <v>47</v>
      </c>
      <c r="H457" s="2">
        <v>44</v>
      </c>
      <c r="I457" s="2">
        <v>56</v>
      </c>
      <c r="J457" s="2">
        <v>64</v>
      </c>
      <c r="K457" s="2">
        <v>52</v>
      </c>
    </row>
    <row r="458" spans="1:11" x14ac:dyDescent="0.35">
      <c r="A458" s="2" t="s">
        <v>433</v>
      </c>
      <c r="B458" s="2" t="s">
        <v>434</v>
      </c>
      <c r="C458" s="2" t="s">
        <v>23</v>
      </c>
      <c r="D458" s="2" t="s">
        <v>351</v>
      </c>
      <c r="E458" s="2" t="s">
        <v>20</v>
      </c>
      <c r="F458" s="2">
        <v>40</v>
      </c>
      <c r="G458" s="2">
        <v>39</v>
      </c>
      <c r="H458" s="2">
        <v>48</v>
      </c>
      <c r="I458" s="2">
        <v>56</v>
      </c>
      <c r="J458" s="2">
        <v>59</v>
      </c>
      <c r="K458" s="2">
        <v>45</v>
      </c>
    </row>
    <row r="459" spans="1:11" x14ac:dyDescent="0.35">
      <c r="A459" s="2" t="s">
        <v>435</v>
      </c>
      <c r="B459" s="2" t="s">
        <v>436</v>
      </c>
      <c r="C459" s="2" t="s">
        <v>18</v>
      </c>
      <c r="D459" s="2" t="s">
        <v>351</v>
      </c>
      <c r="E459" s="2" t="s">
        <v>15</v>
      </c>
      <c r="F459" s="2">
        <v>43</v>
      </c>
      <c r="G459" s="2">
        <v>61</v>
      </c>
      <c r="H459" s="2">
        <v>60</v>
      </c>
      <c r="I459" s="2">
        <v>44</v>
      </c>
      <c r="J459" s="2">
        <v>53</v>
      </c>
      <c r="K459" s="2">
        <v>46</v>
      </c>
    </row>
    <row r="460" spans="1:11" x14ac:dyDescent="0.35">
      <c r="A460" s="2" t="s">
        <v>435</v>
      </c>
      <c r="B460" s="2" t="s">
        <v>437</v>
      </c>
      <c r="C460" s="2" t="s">
        <v>18</v>
      </c>
      <c r="D460" s="2" t="s">
        <v>351</v>
      </c>
      <c r="E460" s="2" t="s">
        <v>17</v>
      </c>
      <c r="F460" s="2">
        <v>55</v>
      </c>
      <c r="G460" s="2">
        <v>64</v>
      </c>
      <c r="H460" s="2">
        <v>63</v>
      </c>
      <c r="I460" s="2">
        <v>69</v>
      </c>
      <c r="J460" s="2">
        <v>71</v>
      </c>
      <c r="K460" s="2">
        <v>68</v>
      </c>
    </row>
    <row r="461" spans="1:11" x14ac:dyDescent="0.35">
      <c r="A461" s="2" t="s">
        <v>435</v>
      </c>
      <c r="B461" s="2" t="s">
        <v>437</v>
      </c>
      <c r="C461" s="2" t="s">
        <v>18</v>
      </c>
      <c r="D461" s="2" t="s">
        <v>351</v>
      </c>
      <c r="E461" s="2" t="s">
        <v>20</v>
      </c>
      <c r="F461" s="2">
        <v>54</v>
      </c>
      <c r="G461" s="2">
        <v>72</v>
      </c>
      <c r="H461" s="2">
        <v>74</v>
      </c>
      <c r="I461" s="2">
        <v>64</v>
      </c>
      <c r="J461" s="2">
        <v>68</v>
      </c>
      <c r="K461" s="2">
        <v>85</v>
      </c>
    </row>
    <row r="462" spans="1:11" x14ac:dyDescent="0.35">
      <c r="A462" s="2" t="s">
        <v>438</v>
      </c>
      <c r="B462" s="2" t="s">
        <v>439</v>
      </c>
      <c r="C462" s="2" t="s">
        <v>18</v>
      </c>
      <c r="D462" s="2" t="s">
        <v>351</v>
      </c>
      <c r="E462" s="2" t="s">
        <v>15</v>
      </c>
      <c r="F462" s="2">
        <v>64</v>
      </c>
      <c r="G462" s="2">
        <v>55</v>
      </c>
      <c r="H462" s="2">
        <v>48</v>
      </c>
      <c r="I462" s="2">
        <v>57</v>
      </c>
      <c r="J462" s="2">
        <v>57</v>
      </c>
      <c r="K462" s="2">
        <v>61</v>
      </c>
    </row>
    <row r="463" spans="1:11" x14ac:dyDescent="0.35">
      <c r="A463" s="2" t="s">
        <v>438</v>
      </c>
      <c r="B463" s="2" t="s">
        <v>440</v>
      </c>
      <c r="C463" s="2" t="s">
        <v>18</v>
      </c>
      <c r="D463" s="2" t="s">
        <v>351</v>
      </c>
      <c r="E463" s="2" t="s">
        <v>17</v>
      </c>
      <c r="F463" s="2">
        <v>58</v>
      </c>
      <c r="G463" s="2">
        <v>45</v>
      </c>
      <c r="H463" s="2">
        <v>42</v>
      </c>
      <c r="I463" s="2">
        <v>75</v>
      </c>
      <c r="J463" s="2">
        <v>57</v>
      </c>
      <c r="K463" s="2">
        <v>73</v>
      </c>
    </row>
    <row r="464" spans="1:11" x14ac:dyDescent="0.35">
      <c r="A464" s="2" t="s">
        <v>438</v>
      </c>
      <c r="B464" s="2" t="s">
        <v>439</v>
      </c>
      <c r="C464" s="2" t="s">
        <v>18</v>
      </c>
      <c r="D464" s="2" t="s">
        <v>351</v>
      </c>
      <c r="E464" s="2" t="s">
        <v>20</v>
      </c>
      <c r="F464" s="2">
        <v>39</v>
      </c>
      <c r="G464" s="2">
        <v>64</v>
      </c>
      <c r="H464" s="2">
        <v>46</v>
      </c>
      <c r="I464" s="2">
        <v>54</v>
      </c>
      <c r="J464" s="2">
        <v>52</v>
      </c>
      <c r="K464" s="2">
        <v>68</v>
      </c>
    </row>
    <row r="465" spans="1:11" x14ac:dyDescent="0.35">
      <c r="A465" s="2" t="s">
        <v>441</v>
      </c>
      <c r="B465" s="2" t="s">
        <v>442</v>
      </c>
      <c r="C465" s="2" t="s">
        <v>23</v>
      </c>
      <c r="D465" s="2" t="s">
        <v>351</v>
      </c>
      <c r="E465" s="2" t="s">
        <v>15</v>
      </c>
      <c r="F465" s="2">
        <v>53</v>
      </c>
      <c r="G465" s="2">
        <v>59</v>
      </c>
      <c r="H465" s="2">
        <v>69</v>
      </c>
      <c r="I465" s="2">
        <v>80</v>
      </c>
      <c r="J465" s="2">
        <v>73</v>
      </c>
      <c r="K465" s="2">
        <v>74</v>
      </c>
    </row>
    <row r="466" spans="1:11" x14ac:dyDescent="0.35">
      <c r="A466" s="2" t="s">
        <v>441</v>
      </c>
      <c r="B466" s="2" t="s">
        <v>443</v>
      </c>
      <c r="C466" s="2" t="s">
        <v>23</v>
      </c>
      <c r="D466" s="2" t="s">
        <v>351</v>
      </c>
      <c r="E466" s="2" t="s">
        <v>17</v>
      </c>
      <c r="F466" s="2">
        <v>65</v>
      </c>
      <c r="G466" s="2">
        <v>78</v>
      </c>
      <c r="H466" s="2">
        <v>62</v>
      </c>
      <c r="I466" s="2">
        <v>62</v>
      </c>
      <c r="J466" s="2">
        <v>83</v>
      </c>
      <c r="K466" s="2">
        <v>82</v>
      </c>
    </row>
    <row r="467" spans="1:11" x14ac:dyDescent="0.35">
      <c r="A467" s="2" t="s">
        <v>441</v>
      </c>
      <c r="B467" s="2" t="s">
        <v>442</v>
      </c>
      <c r="C467" s="2" t="s">
        <v>25</v>
      </c>
      <c r="D467" s="2" t="s">
        <v>351</v>
      </c>
      <c r="E467" s="2" t="s">
        <v>20</v>
      </c>
      <c r="F467" s="2">
        <v>51</v>
      </c>
      <c r="G467" s="2">
        <v>71</v>
      </c>
      <c r="H467" s="2">
        <v>67</v>
      </c>
      <c r="I467" s="2">
        <v>68</v>
      </c>
      <c r="J467" s="2">
        <v>62</v>
      </c>
      <c r="K467" s="2">
        <v>62</v>
      </c>
    </row>
    <row r="468" spans="1:11" x14ac:dyDescent="0.35">
      <c r="A468" s="2" t="s">
        <v>444</v>
      </c>
      <c r="B468" s="2" t="s">
        <v>445</v>
      </c>
      <c r="C468" s="2" t="s">
        <v>18</v>
      </c>
      <c r="D468" s="2" t="s">
        <v>351</v>
      </c>
      <c r="E468" s="2" t="s">
        <v>15</v>
      </c>
      <c r="F468" s="2">
        <v>62</v>
      </c>
      <c r="G468" s="2">
        <v>71</v>
      </c>
      <c r="H468" s="2">
        <v>81</v>
      </c>
      <c r="I468" s="2">
        <v>65</v>
      </c>
      <c r="J468" s="2">
        <v>83</v>
      </c>
      <c r="K468" s="2">
        <v>79</v>
      </c>
    </row>
    <row r="469" spans="1:11" x14ac:dyDescent="0.35">
      <c r="A469" s="2" t="s">
        <v>444</v>
      </c>
      <c r="B469" s="2" t="s">
        <v>445</v>
      </c>
      <c r="C469" s="2" t="s">
        <v>13</v>
      </c>
      <c r="D469" s="2" t="s">
        <v>351</v>
      </c>
      <c r="E469" s="2" t="s">
        <v>17</v>
      </c>
      <c r="F469" s="2">
        <v>75</v>
      </c>
      <c r="G469" s="2">
        <v>89</v>
      </c>
      <c r="H469" s="2">
        <v>70</v>
      </c>
      <c r="I469" s="2">
        <v>79</v>
      </c>
      <c r="J469" s="2">
        <v>67</v>
      </c>
      <c r="K469" s="2">
        <v>76</v>
      </c>
    </row>
    <row r="470" spans="1:11" x14ac:dyDescent="0.35">
      <c r="A470" s="2" t="s">
        <v>444</v>
      </c>
      <c r="B470" s="2" t="s">
        <v>445</v>
      </c>
      <c r="C470" s="2" t="s">
        <v>18</v>
      </c>
      <c r="D470" s="2" t="s">
        <v>351</v>
      </c>
      <c r="E470" s="2" t="s">
        <v>20</v>
      </c>
      <c r="F470" s="2">
        <v>83</v>
      </c>
      <c r="G470" s="2">
        <v>92</v>
      </c>
      <c r="H470" s="2">
        <v>77</v>
      </c>
      <c r="I470" s="2">
        <v>81</v>
      </c>
      <c r="J470" s="2">
        <v>85</v>
      </c>
      <c r="K470" s="2">
        <v>86</v>
      </c>
    </row>
    <row r="471" spans="1:11" x14ac:dyDescent="0.35">
      <c r="A471" s="2" t="s">
        <v>446</v>
      </c>
      <c r="B471" s="2" t="s">
        <v>447</v>
      </c>
      <c r="C471" s="2" t="s">
        <v>23</v>
      </c>
      <c r="D471" s="2" t="s">
        <v>351</v>
      </c>
      <c r="E471" s="2" t="s">
        <v>15</v>
      </c>
      <c r="F471" s="2">
        <v>85</v>
      </c>
      <c r="G471" s="2">
        <v>68</v>
      </c>
      <c r="H471" s="2">
        <v>61</v>
      </c>
      <c r="I471" s="2">
        <v>73</v>
      </c>
      <c r="J471" s="2">
        <v>70</v>
      </c>
      <c r="K471" s="2">
        <v>82</v>
      </c>
    </row>
    <row r="472" spans="1:11" x14ac:dyDescent="0.35">
      <c r="A472" s="2" t="s">
        <v>446</v>
      </c>
      <c r="B472" s="2" t="s">
        <v>447</v>
      </c>
      <c r="C472" s="2" t="s">
        <v>33</v>
      </c>
      <c r="D472" s="2" t="s">
        <v>351</v>
      </c>
      <c r="E472" s="2" t="s">
        <v>17</v>
      </c>
      <c r="F472" s="2">
        <v>69</v>
      </c>
      <c r="G472" s="2" t="s">
        <v>448</v>
      </c>
      <c r="H472" s="2">
        <v>73</v>
      </c>
      <c r="I472" s="2">
        <v>76</v>
      </c>
      <c r="J472" s="2">
        <v>81</v>
      </c>
      <c r="K472" s="2">
        <v>76</v>
      </c>
    </row>
    <row r="473" spans="1:11" x14ac:dyDescent="0.35">
      <c r="A473" s="2" t="s">
        <v>446</v>
      </c>
      <c r="B473" s="2" t="s">
        <v>447</v>
      </c>
      <c r="C473" s="2" t="s">
        <v>23</v>
      </c>
      <c r="D473" s="2" t="s">
        <v>352</v>
      </c>
      <c r="E473" s="2" t="s">
        <v>20</v>
      </c>
      <c r="F473" s="2">
        <v>66</v>
      </c>
      <c r="G473" s="2">
        <v>73</v>
      </c>
      <c r="H473" s="2">
        <v>82</v>
      </c>
      <c r="I473" s="2">
        <v>70</v>
      </c>
      <c r="J473" s="2">
        <v>74</v>
      </c>
      <c r="K473" s="2" t="s">
        <v>449</v>
      </c>
    </row>
    <row r="474" spans="1:11" x14ac:dyDescent="0.35">
      <c r="A474" s="2" t="s">
        <v>450</v>
      </c>
      <c r="B474" s="2" t="s">
        <v>451</v>
      </c>
      <c r="C474" s="2" t="s">
        <v>33</v>
      </c>
      <c r="D474" s="2" t="s">
        <v>351</v>
      </c>
      <c r="E474" s="2" t="s">
        <v>15</v>
      </c>
      <c r="F474" s="2">
        <v>88</v>
      </c>
      <c r="G474" s="2">
        <v>98</v>
      </c>
      <c r="H474" s="2">
        <v>91</v>
      </c>
      <c r="I474" s="2">
        <v>98</v>
      </c>
      <c r="J474" s="2">
        <v>98</v>
      </c>
      <c r="K474" s="2">
        <v>95</v>
      </c>
    </row>
    <row r="475" spans="1:11" x14ac:dyDescent="0.35">
      <c r="A475" s="2" t="s">
        <v>450</v>
      </c>
      <c r="B475" s="2" t="s">
        <v>451</v>
      </c>
      <c r="C475" s="2" t="s">
        <v>23</v>
      </c>
      <c r="D475" s="2" t="s">
        <v>351</v>
      </c>
      <c r="E475" s="2" t="s">
        <v>17</v>
      </c>
      <c r="F475" s="2">
        <v>92</v>
      </c>
      <c r="G475" s="2">
        <v>98</v>
      </c>
      <c r="H475" s="2">
        <v>92</v>
      </c>
      <c r="I475" s="2">
        <v>98</v>
      </c>
      <c r="J475" s="2">
        <v>98</v>
      </c>
      <c r="K475" s="2">
        <v>98</v>
      </c>
    </row>
    <row r="476" spans="1:11" x14ac:dyDescent="0.35">
      <c r="A476" s="2" t="s">
        <v>450</v>
      </c>
      <c r="B476" s="2" t="s">
        <v>451</v>
      </c>
      <c r="C476" s="2" t="s">
        <v>23</v>
      </c>
      <c r="D476" s="2" t="s">
        <v>351</v>
      </c>
      <c r="E476" s="2" t="s">
        <v>20</v>
      </c>
      <c r="F476" s="2">
        <v>98</v>
      </c>
      <c r="G476" s="2" t="s">
        <v>452</v>
      </c>
      <c r="H476" s="2">
        <v>90</v>
      </c>
      <c r="I476" s="2">
        <v>98</v>
      </c>
      <c r="J476" s="2">
        <v>98</v>
      </c>
      <c r="K476" s="2">
        <v>98</v>
      </c>
    </row>
    <row r="477" spans="1:11" x14ac:dyDescent="0.35">
      <c r="A477" s="2" t="s">
        <v>453</v>
      </c>
      <c r="B477" s="2" t="s">
        <v>454</v>
      </c>
      <c r="C477" s="2" t="s">
        <v>18</v>
      </c>
      <c r="D477" s="2" t="s">
        <v>351</v>
      </c>
      <c r="E477" s="2" t="s">
        <v>15</v>
      </c>
      <c r="F477" s="2">
        <v>58</v>
      </c>
      <c r="G477" s="2">
        <v>56</v>
      </c>
      <c r="H477" s="2">
        <v>72</v>
      </c>
      <c r="I477" s="2">
        <v>78</v>
      </c>
      <c r="J477" s="2">
        <v>65</v>
      </c>
      <c r="K477" s="2">
        <v>77</v>
      </c>
    </row>
    <row r="478" spans="1:11" x14ac:dyDescent="0.35">
      <c r="A478" s="2" t="s">
        <v>453</v>
      </c>
      <c r="B478" s="2" t="s">
        <v>454</v>
      </c>
      <c r="C478" s="2" t="s">
        <v>18</v>
      </c>
      <c r="D478" s="2" t="s">
        <v>351</v>
      </c>
      <c r="E478" s="2" t="s">
        <v>17</v>
      </c>
      <c r="F478" s="2">
        <v>68</v>
      </c>
      <c r="G478" s="2">
        <v>73</v>
      </c>
      <c r="H478" s="2">
        <v>57</v>
      </c>
      <c r="I478" s="2">
        <v>88</v>
      </c>
      <c r="J478" s="2">
        <v>87</v>
      </c>
      <c r="K478" s="2">
        <v>71</v>
      </c>
    </row>
    <row r="479" spans="1:11" x14ac:dyDescent="0.35">
      <c r="A479" s="2" t="s">
        <v>453</v>
      </c>
      <c r="B479" s="2" t="s">
        <v>454</v>
      </c>
      <c r="C479" s="2" t="s">
        <v>18</v>
      </c>
      <c r="D479" s="2" t="s">
        <v>351</v>
      </c>
      <c r="E479" s="2" t="s">
        <v>20</v>
      </c>
      <c r="F479" s="2">
        <v>61</v>
      </c>
      <c r="G479" s="2">
        <v>61</v>
      </c>
      <c r="H479" s="2">
        <v>72</v>
      </c>
      <c r="I479" s="2">
        <v>73</v>
      </c>
      <c r="J479" s="2">
        <v>77</v>
      </c>
      <c r="K479" s="2">
        <v>73</v>
      </c>
    </row>
    <row r="480" spans="1:11" x14ac:dyDescent="0.35">
      <c r="A480" s="2" t="s">
        <v>455</v>
      </c>
      <c r="B480" s="2" t="s">
        <v>456</v>
      </c>
      <c r="C480" s="2" t="s">
        <v>30</v>
      </c>
      <c r="D480" s="2" t="s">
        <v>351</v>
      </c>
      <c r="E480" s="2" t="s">
        <v>15</v>
      </c>
      <c r="F480" s="2">
        <v>35</v>
      </c>
      <c r="G480" s="2">
        <v>43</v>
      </c>
      <c r="H480" s="2">
        <v>43</v>
      </c>
      <c r="I480" s="2">
        <v>54</v>
      </c>
      <c r="J480" s="2">
        <v>52</v>
      </c>
      <c r="K480" s="2">
        <v>61</v>
      </c>
    </row>
    <row r="481" spans="1:11" x14ac:dyDescent="0.35">
      <c r="A481" s="2" t="s">
        <v>455</v>
      </c>
      <c r="B481" s="2" t="s">
        <v>456</v>
      </c>
      <c r="C481" s="2" t="s">
        <v>23</v>
      </c>
      <c r="D481" s="2" t="s">
        <v>351</v>
      </c>
      <c r="E481" s="2" t="s">
        <v>17</v>
      </c>
      <c r="F481" s="2">
        <v>48</v>
      </c>
      <c r="G481" s="2">
        <v>55</v>
      </c>
      <c r="H481" s="2">
        <v>49</v>
      </c>
      <c r="I481" s="2">
        <v>65</v>
      </c>
      <c r="J481" s="2">
        <v>68</v>
      </c>
      <c r="K481" s="2">
        <v>51</v>
      </c>
    </row>
    <row r="482" spans="1:11" x14ac:dyDescent="0.35">
      <c r="A482" s="2" t="s">
        <v>455</v>
      </c>
      <c r="B482" s="2" t="s">
        <v>457</v>
      </c>
      <c r="C482" s="2" t="s">
        <v>33</v>
      </c>
      <c r="D482" s="2" t="s">
        <v>351</v>
      </c>
      <c r="E482" s="2" t="s">
        <v>20</v>
      </c>
      <c r="F482" s="2">
        <v>34</v>
      </c>
      <c r="G482" s="2">
        <v>53</v>
      </c>
      <c r="H482" s="2">
        <v>50</v>
      </c>
      <c r="I482" s="2">
        <v>56</v>
      </c>
      <c r="J482" s="2">
        <v>48</v>
      </c>
      <c r="K482" s="2">
        <v>47</v>
      </c>
    </row>
    <row r="483" spans="1:11" x14ac:dyDescent="0.35">
      <c r="A483" s="2" t="s">
        <v>458</v>
      </c>
      <c r="B483" s="2" t="s">
        <v>459</v>
      </c>
      <c r="C483" s="2" t="s">
        <v>18</v>
      </c>
      <c r="D483" s="2" t="s">
        <v>460</v>
      </c>
      <c r="E483" s="2" t="s">
        <v>15</v>
      </c>
      <c r="F483" s="2">
        <v>51</v>
      </c>
      <c r="G483" s="2">
        <v>71</v>
      </c>
      <c r="H483" s="2">
        <v>55</v>
      </c>
      <c r="I483" s="2">
        <v>66</v>
      </c>
      <c r="J483" s="2">
        <v>58</v>
      </c>
      <c r="K483" s="2" t="s">
        <v>461</v>
      </c>
    </row>
    <row r="484" spans="1:11" x14ac:dyDescent="0.35">
      <c r="A484" s="2" t="s">
        <v>458</v>
      </c>
      <c r="B484" s="2" t="s">
        <v>462</v>
      </c>
      <c r="C484" s="2" t="s">
        <v>18</v>
      </c>
      <c r="D484" s="2" t="s">
        <v>460</v>
      </c>
      <c r="E484" s="2" t="s">
        <v>17</v>
      </c>
      <c r="F484" s="2">
        <v>46</v>
      </c>
      <c r="G484" s="2">
        <v>42</v>
      </c>
      <c r="H484" s="2">
        <v>51</v>
      </c>
      <c r="I484" s="2">
        <v>67</v>
      </c>
      <c r="J484" s="2">
        <v>62</v>
      </c>
      <c r="K484" s="2">
        <v>58</v>
      </c>
    </row>
    <row r="485" spans="1:11" x14ac:dyDescent="0.35">
      <c r="A485" s="2" t="s">
        <v>458</v>
      </c>
      <c r="B485" s="2" t="s">
        <v>462</v>
      </c>
      <c r="C485" s="2" t="s">
        <v>18</v>
      </c>
      <c r="D485" s="2" t="s">
        <v>460</v>
      </c>
      <c r="E485" s="2" t="s">
        <v>20</v>
      </c>
      <c r="F485" s="2">
        <v>50</v>
      </c>
      <c r="G485" s="2">
        <v>59</v>
      </c>
      <c r="H485" s="2">
        <v>61</v>
      </c>
      <c r="I485" s="2">
        <v>55</v>
      </c>
      <c r="J485" s="2">
        <v>61</v>
      </c>
      <c r="K485" s="2">
        <v>65</v>
      </c>
    </row>
    <row r="486" spans="1:11" x14ac:dyDescent="0.35">
      <c r="A486" s="2" t="s">
        <v>463</v>
      </c>
      <c r="B486" s="2" t="s">
        <v>464</v>
      </c>
      <c r="C486" s="2" t="s">
        <v>23</v>
      </c>
      <c r="D486" s="2" t="s">
        <v>460</v>
      </c>
      <c r="E486" s="2" t="s">
        <v>15</v>
      </c>
      <c r="F486" s="2">
        <v>65</v>
      </c>
      <c r="G486" s="2">
        <v>55</v>
      </c>
      <c r="H486" s="2">
        <v>59</v>
      </c>
      <c r="I486" s="2">
        <v>54</v>
      </c>
      <c r="J486" s="2">
        <v>62</v>
      </c>
      <c r="K486" s="2">
        <v>72</v>
      </c>
    </row>
    <row r="487" spans="1:11" x14ac:dyDescent="0.35">
      <c r="A487" s="2" t="s">
        <v>463</v>
      </c>
      <c r="B487" s="2" t="s">
        <v>464</v>
      </c>
      <c r="C487" s="2" t="s">
        <v>23</v>
      </c>
      <c r="D487" s="2" t="s">
        <v>460</v>
      </c>
      <c r="E487" s="2" t="s">
        <v>17</v>
      </c>
      <c r="F487" s="2">
        <v>68</v>
      </c>
      <c r="G487" s="2">
        <v>61</v>
      </c>
      <c r="H487" s="2">
        <v>58</v>
      </c>
      <c r="I487" s="2">
        <v>59</v>
      </c>
      <c r="J487" s="2">
        <v>57</v>
      </c>
      <c r="K487" s="2">
        <v>62</v>
      </c>
    </row>
    <row r="488" spans="1:11" x14ac:dyDescent="0.35">
      <c r="A488" s="2" t="s">
        <v>463</v>
      </c>
      <c r="B488" s="2" t="s">
        <v>464</v>
      </c>
      <c r="C488" s="2" t="s">
        <v>33</v>
      </c>
      <c r="D488" s="2" t="s">
        <v>460</v>
      </c>
      <c r="E488" s="2" t="s">
        <v>20</v>
      </c>
      <c r="F488" s="2">
        <v>60</v>
      </c>
      <c r="G488" s="2">
        <v>47</v>
      </c>
      <c r="H488" s="2">
        <v>58</v>
      </c>
      <c r="I488" s="2">
        <v>60</v>
      </c>
      <c r="J488" s="2">
        <v>58</v>
      </c>
      <c r="K488" s="2">
        <v>69</v>
      </c>
    </row>
    <row r="489" spans="1:11" x14ac:dyDescent="0.35">
      <c r="A489" s="2" t="s">
        <v>465</v>
      </c>
      <c r="B489" s="2" t="s">
        <v>466</v>
      </c>
      <c r="C489" s="2" t="s">
        <v>23</v>
      </c>
      <c r="D489" s="2" t="s">
        <v>460</v>
      </c>
      <c r="E489" s="2" t="s">
        <v>15</v>
      </c>
      <c r="F489" s="2">
        <v>56</v>
      </c>
      <c r="G489" s="2">
        <v>60</v>
      </c>
      <c r="H489" s="2">
        <v>61</v>
      </c>
      <c r="I489" s="2">
        <v>60</v>
      </c>
      <c r="J489" s="2">
        <v>60</v>
      </c>
      <c r="K489" s="2">
        <v>68</v>
      </c>
    </row>
    <row r="490" spans="1:11" x14ac:dyDescent="0.35">
      <c r="A490" s="2" t="s">
        <v>465</v>
      </c>
      <c r="B490" s="2" t="s">
        <v>467</v>
      </c>
      <c r="C490" s="2" t="s">
        <v>23</v>
      </c>
      <c r="D490" s="2" t="s">
        <v>460</v>
      </c>
      <c r="E490" s="2" t="s">
        <v>17</v>
      </c>
      <c r="F490" s="2">
        <v>59</v>
      </c>
      <c r="G490" s="2">
        <v>79</v>
      </c>
      <c r="H490" s="2">
        <v>70</v>
      </c>
      <c r="I490" s="2">
        <v>68</v>
      </c>
      <c r="J490" s="2">
        <v>76</v>
      </c>
      <c r="K490" s="2">
        <v>84</v>
      </c>
    </row>
    <row r="491" spans="1:11" x14ac:dyDescent="0.35">
      <c r="A491" s="2" t="s">
        <v>465</v>
      </c>
      <c r="B491" s="2" t="s">
        <v>467</v>
      </c>
      <c r="C491" s="2" t="s">
        <v>23</v>
      </c>
      <c r="D491" s="2" t="s">
        <v>460</v>
      </c>
      <c r="E491" s="2" t="s">
        <v>20</v>
      </c>
      <c r="F491" s="2">
        <v>76</v>
      </c>
      <c r="G491" s="2">
        <v>90</v>
      </c>
      <c r="H491" s="2">
        <v>71</v>
      </c>
      <c r="I491" s="2">
        <v>90</v>
      </c>
      <c r="J491" s="2">
        <v>80</v>
      </c>
      <c r="K491" s="2">
        <v>85</v>
      </c>
    </row>
    <row r="492" spans="1:11" x14ac:dyDescent="0.35">
      <c r="A492" s="2" t="s">
        <v>468</v>
      </c>
      <c r="B492" s="2" t="s">
        <v>469</v>
      </c>
      <c r="C492" s="2" t="s">
        <v>23</v>
      </c>
      <c r="D492" s="2" t="s">
        <v>460</v>
      </c>
      <c r="E492" s="2" t="s">
        <v>15</v>
      </c>
      <c r="F492" s="2">
        <v>40</v>
      </c>
      <c r="G492" s="2">
        <v>44</v>
      </c>
      <c r="H492" s="2">
        <v>62</v>
      </c>
      <c r="I492" s="2">
        <v>68</v>
      </c>
      <c r="J492" s="2"/>
      <c r="K492" s="2">
        <v>63</v>
      </c>
    </row>
    <row r="493" spans="1:11" x14ac:dyDescent="0.35">
      <c r="A493" s="2" t="s">
        <v>468</v>
      </c>
      <c r="B493" s="2" t="s">
        <v>469</v>
      </c>
      <c r="C493" s="2" t="s">
        <v>23</v>
      </c>
      <c r="D493" s="2" t="s">
        <v>460</v>
      </c>
      <c r="E493" s="2" t="s">
        <v>17</v>
      </c>
      <c r="F493" s="2">
        <v>53</v>
      </c>
      <c r="G493" s="2">
        <v>69</v>
      </c>
      <c r="H493" s="2">
        <v>43</v>
      </c>
      <c r="I493" s="2">
        <v>72</v>
      </c>
      <c r="J493" s="2">
        <v>50</v>
      </c>
      <c r="K493" s="2">
        <v>75</v>
      </c>
    </row>
    <row r="494" spans="1:11" x14ac:dyDescent="0.35">
      <c r="A494" s="2" t="s">
        <v>468</v>
      </c>
      <c r="B494" s="2" t="s">
        <v>470</v>
      </c>
      <c r="C494" s="2" t="s">
        <v>23</v>
      </c>
      <c r="D494" s="2" t="s">
        <v>460</v>
      </c>
      <c r="E494" s="2" t="s">
        <v>20</v>
      </c>
      <c r="F494" s="2">
        <v>73</v>
      </c>
      <c r="G494" s="2">
        <v>55</v>
      </c>
      <c r="H494" s="2">
        <v>57</v>
      </c>
      <c r="I494" s="2">
        <v>67</v>
      </c>
      <c r="J494" s="2">
        <v>74</v>
      </c>
      <c r="K494" s="2">
        <v>55</v>
      </c>
    </row>
    <row r="495" spans="1:11" x14ac:dyDescent="0.35">
      <c r="A495" s="2" t="s">
        <v>471</v>
      </c>
      <c r="B495" s="2" t="s">
        <v>472</v>
      </c>
      <c r="C495" s="2" t="s">
        <v>18</v>
      </c>
      <c r="D495" s="2" t="s">
        <v>460</v>
      </c>
      <c r="E495" s="2" t="s">
        <v>15</v>
      </c>
      <c r="F495" s="2">
        <v>50</v>
      </c>
      <c r="G495" s="2">
        <v>62</v>
      </c>
      <c r="H495" s="2">
        <v>61</v>
      </c>
      <c r="I495" s="2">
        <v>65</v>
      </c>
      <c r="J495" s="2">
        <v>58</v>
      </c>
      <c r="K495" s="2">
        <v>60</v>
      </c>
    </row>
    <row r="496" spans="1:11" x14ac:dyDescent="0.35">
      <c r="A496" s="2" t="s">
        <v>471</v>
      </c>
      <c r="B496" s="2" t="s">
        <v>472</v>
      </c>
      <c r="C496" s="2" t="s">
        <v>18</v>
      </c>
      <c r="D496" s="2" t="s">
        <v>473</v>
      </c>
      <c r="E496" s="2" t="s">
        <v>17</v>
      </c>
      <c r="F496" s="2">
        <v>53</v>
      </c>
      <c r="G496" s="2">
        <v>81</v>
      </c>
      <c r="H496" s="2">
        <v>54</v>
      </c>
      <c r="I496" s="2">
        <v>68</v>
      </c>
      <c r="J496" s="2">
        <v>65</v>
      </c>
      <c r="K496" s="2">
        <v>68</v>
      </c>
    </row>
    <row r="497" spans="1:11" x14ac:dyDescent="0.35">
      <c r="A497" s="2" t="s">
        <v>471</v>
      </c>
      <c r="B497" s="2" t="s">
        <v>472</v>
      </c>
      <c r="C497" s="2" t="s">
        <v>18</v>
      </c>
      <c r="D497" s="2" t="s">
        <v>460</v>
      </c>
      <c r="E497" s="2" t="s">
        <v>20</v>
      </c>
      <c r="F497" s="2">
        <v>65</v>
      </c>
      <c r="G497" s="2">
        <v>65</v>
      </c>
      <c r="H497" s="2">
        <v>67</v>
      </c>
      <c r="I497" s="2">
        <v>69</v>
      </c>
      <c r="J497" s="2">
        <v>78</v>
      </c>
      <c r="K497" s="2">
        <v>72</v>
      </c>
    </row>
    <row r="498" spans="1:11" x14ac:dyDescent="0.35">
      <c r="A498" s="2" t="s">
        <v>474</v>
      </c>
      <c r="B498" s="2" t="s">
        <v>475</v>
      </c>
      <c r="C498" s="2" t="s">
        <v>23</v>
      </c>
      <c r="D498" s="2" t="s">
        <v>460</v>
      </c>
      <c r="E498" s="2" t="s">
        <v>15</v>
      </c>
      <c r="F498" s="2">
        <v>60</v>
      </c>
      <c r="G498" s="2">
        <v>65</v>
      </c>
      <c r="H498" s="2">
        <v>76</v>
      </c>
      <c r="I498" s="2">
        <v>81</v>
      </c>
      <c r="J498" s="2">
        <v>61</v>
      </c>
      <c r="K498" s="2">
        <v>66</v>
      </c>
    </row>
    <row r="499" spans="1:11" x14ac:dyDescent="0.35">
      <c r="A499" s="2" t="s">
        <v>474</v>
      </c>
      <c r="B499" s="2" t="s">
        <v>475</v>
      </c>
      <c r="C499" s="2" t="s">
        <v>25</v>
      </c>
      <c r="D499" s="2" t="s">
        <v>460</v>
      </c>
      <c r="E499" s="2" t="s">
        <v>17</v>
      </c>
      <c r="F499" s="2">
        <v>55</v>
      </c>
      <c r="G499" s="2">
        <v>68</v>
      </c>
      <c r="H499" s="2">
        <v>68</v>
      </c>
      <c r="I499" s="2">
        <v>69</v>
      </c>
      <c r="J499" s="2">
        <v>77</v>
      </c>
      <c r="K499" s="2">
        <v>73</v>
      </c>
    </row>
    <row r="500" spans="1:11" x14ac:dyDescent="0.35">
      <c r="A500" s="2" t="s">
        <v>474</v>
      </c>
      <c r="B500" s="2" t="s">
        <v>475</v>
      </c>
      <c r="C500" s="2" t="s">
        <v>23</v>
      </c>
      <c r="D500" s="2" t="s">
        <v>460</v>
      </c>
      <c r="E500" s="2" t="s">
        <v>20</v>
      </c>
      <c r="F500" s="2">
        <v>70</v>
      </c>
      <c r="G500" s="2">
        <v>64</v>
      </c>
      <c r="H500" s="2">
        <v>79</v>
      </c>
      <c r="I500" s="2">
        <v>73</v>
      </c>
      <c r="J500" s="2">
        <v>78</v>
      </c>
      <c r="K500" s="2">
        <v>87</v>
      </c>
    </row>
    <row r="501" spans="1:11" x14ac:dyDescent="0.35">
      <c r="A501" s="2" t="s">
        <v>476</v>
      </c>
      <c r="B501" s="2" t="s">
        <v>477</v>
      </c>
      <c r="C501" s="2" t="s">
        <v>23</v>
      </c>
      <c r="D501" s="2" t="s">
        <v>460</v>
      </c>
      <c r="E501" s="2" t="s">
        <v>15</v>
      </c>
      <c r="F501" s="2">
        <v>32</v>
      </c>
      <c r="G501" s="2">
        <v>55</v>
      </c>
      <c r="H501" s="2">
        <v>48</v>
      </c>
      <c r="I501" s="2">
        <v>53</v>
      </c>
      <c r="J501" s="2">
        <v>42</v>
      </c>
      <c r="K501" s="2">
        <v>44</v>
      </c>
    </row>
    <row r="502" spans="1:11" x14ac:dyDescent="0.35">
      <c r="A502" s="2" t="s">
        <v>476</v>
      </c>
      <c r="B502" s="2" t="s">
        <v>478</v>
      </c>
      <c r="C502" s="2" t="s">
        <v>33</v>
      </c>
      <c r="D502" s="2" t="s">
        <v>460</v>
      </c>
      <c r="E502" s="2" t="s">
        <v>17</v>
      </c>
      <c r="F502" s="2">
        <v>44</v>
      </c>
      <c r="G502" s="2">
        <v>47</v>
      </c>
      <c r="H502" s="2">
        <v>43</v>
      </c>
      <c r="I502" s="2">
        <v>52</v>
      </c>
      <c r="J502" s="2">
        <v>47</v>
      </c>
      <c r="K502" s="2">
        <v>54</v>
      </c>
    </row>
    <row r="503" spans="1:11" x14ac:dyDescent="0.35">
      <c r="A503" s="2" t="s">
        <v>476</v>
      </c>
      <c r="B503" s="2" t="s">
        <v>478</v>
      </c>
      <c r="C503" s="2" t="s">
        <v>23</v>
      </c>
      <c r="D503" s="2" t="s">
        <v>460</v>
      </c>
      <c r="E503" s="2" t="s">
        <v>20</v>
      </c>
      <c r="F503" s="2">
        <v>49</v>
      </c>
      <c r="G503" s="2">
        <v>45</v>
      </c>
      <c r="H503" s="2">
        <v>43</v>
      </c>
      <c r="I503" s="2">
        <v>53</v>
      </c>
      <c r="J503" s="2">
        <v>52</v>
      </c>
      <c r="K503" s="2">
        <v>56</v>
      </c>
    </row>
    <row r="504" spans="1:11" x14ac:dyDescent="0.35">
      <c r="A504" s="2" t="s">
        <v>479</v>
      </c>
      <c r="B504" s="2" t="s">
        <v>480</v>
      </c>
      <c r="C504" s="2" t="s">
        <v>18</v>
      </c>
      <c r="D504" s="2" t="s">
        <v>460</v>
      </c>
      <c r="E504" s="2" t="s">
        <v>15</v>
      </c>
      <c r="F504" s="2">
        <v>72</v>
      </c>
      <c r="G504" s="2">
        <v>65</v>
      </c>
      <c r="H504" s="2">
        <v>86</v>
      </c>
      <c r="I504" s="2">
        <v>79</v>
      </c>
      <c r="J504" s="2">
        <v>82</v>
      </c>
      <c r="K504" s="2">
        <v>75</v>
      </c>
    </row>
    <row r="505" spans="1:11" x14ac:dyDescent="0.35">
      <c r="A505" s="2" t="s">
        <v>479</v>
      </c>
      <c r="B505" s="2" t="s">
        <v>480</v>
      </c>
      <c r="C505" s="2" t="s">
        <v>18</v>
      </c>
      <c r="D505" s="2" t="s">
        <v>481</v>
      </c>
      <c r="E505" s="2" t="s">
        <v>17</v>
      </c>
      <c r="F505" s="2">
        <v>69</v>
      </c>
      <c r="G505" s="2">
        <v>75</v>
      </c>
      <c r="H505" s="2">
        <v>68</v>
      </c>
      <c r="I505" s="2">
        <v>78</v>
      </c>
      <c r="J505" s="2">
        <v>70</v>
      </c>
      <c r="K505" s="2">
        <v>98</v>
      </c>
    </row>
    <row r="506" spans="1:11" x14ac:dyDescent="0.35">
      <c r="A506" s="2" t="s">
        <v>479</v>
      </c>
      <c r="B506" s="2" t="s">
        <v>480</v>
      </c>
      <c r="C506" s="2" t="s">
        <v>18</v>
      </c>
      <c r="D506" s="2" t="s">
        <v>460</v>
      </c>
      <c r="E506" s="2" t="s">
        <v>20</v>
      </c>
      <c r="F506" s="2">
        <v>72</v>
      </c>
      <c r="G506" s="2">
        <v>80</v>
      </c>
      <c r="H506" s="2">
        <v>77</v>
      </c>
      <c r="I506" s="2">
        <v>74</v>
      </c>
      <c r="J506" s="2">
        <v>81</v>
      </c>
      <c r="K506" s="2">
        <v>64</v>
      </c>
    </row>
    <row r="507" spans="1:11" x14ac:dyDescent="0.35">
      <c r="A507" s="2" t="s">
        <v>482</v>
      </c>
      <c r="B507" s="2" t="s">
        <v>483</v>
      </c>
      <c r="C507" s="2" t="s">
        <v>18</v>
      </c>
      <c r="D507" s="2" t="s">
        <v>460</v>
      </c>
      <c r="E507" s="2" t="s">
        <v>15</v>
      </c>
      <c r="F507" s="2">
        <v>22</v>
      </c>
      <c r="G507" s="2">
        <v>39</v>
      </c>
      <c r="H507" s="2">
        <v>31</v>
      </c>
      <c r="I507" s="2">
        <v>23</v>
      </c>
      <c r="J507" s="2">
        <v>29</v>
      </c>
      <c r="K507" s="2">
        <v>47</v>
      </c>
    </row>
    <row r="508" spans="1:11" x14ac:dyDescent="0.35">
      <c r="A508" s="2" t="s">
        <v>482</v>
      </c>
      <c r="B508" s="2" t="s">
        <v>483</v>
      </c>
      <c r="C508" s="2" t="s">
        <v>18</v>
      </c>
      <c r="D508" s="2" t="s">
        <v>484</v>
      </c>
      <c r="E508" s="2" t="s">
        <v>17</v>
      </c>
      <c r="F508" s="2">
        <v>12</v>
      </c>
      <c r="G508" s="2">
        <v>31</v>
      </c>
      <c r="H508" s="2">
        <v>16</v>
      </c>
      <c r="I508" s="2">
        <v>40</v>
      </c>
      <c r="J508" s="2">
        <v>38</v>
      </c>
      <c r="K508" s="2">
        <v>43</v>
      </c>
    </row>
    <row r="509" spans="1:11" x14ac:dyDescent="0.35">
      <c r="A509" s="2" t="s">
        <v>482</v>
      </c>
      <c r="B509" s="2" t="s">
        <v>483</v>
      </c>
      <c r="C509" s="2" t="s">
        <v>18</v>
      </c>
      <c r="D509" s="2" t="s">
        <v>460</v>
      </c>
      <c r="E509" s="2" t="s">
        <v>20</v>
      </c>
      <c r="F509" s="2">
        <v>17</v>
      </c>
      <c r="G509" s="2">
        <v>28</v>
      </c>
      <c r="H509" s="2">
        <v>25</v>
      </c>
      <c r="I509" s="2">
        <v>20</v>
      </c>
      <c r="J509" s="2">
        <v>30</v>
      </c>
      <c r="K509" s="2">
        <v>27</v>
      </c>
    </row>
    <row r="510" spans="1:11" x14ac:dyDescent="0.35">
      <c r="A510" s="2" t="s">
        <v>485</v>
      </c>
      <c r="B510" s="2" t="s">
        <v>486</v>
      </c>
      <c r="C510" s="2" t="s">
        <v>23</v>
      </c>
      <c r="D510" s="2" t="s">
        <v>460</v>
      </c>
      <c r="E510" s="2" t="s">
        <v>15</v>
      </c>
      <c r="F510" s="2">
        <v>15</v>
      </c>
      <c r="G510" s="2">
        <v>22</v>
      </c>
      <c r="H510" s="2">
        <v>36</v>
      </c>
      <c r="I510" s="2">
        <v>39</v>
      </c>
      <c r="J510" s="2">
        <v>31</v>
      </c>
      <c r="K510" s="2">
        <v>21</v>
      </c>
    </row>
    <row r="511" spans="1:11" x14ac:dyDescent="0.35">
      <c r="A511" s="2" t="s">
        <v>485</v>
      </c>
      <c r="B511" s="2" t="s">
        <v>486</v>
      </c>
      <c r="C511" s="2" t="s">
        <v>23</v>
      </c>
      <c r="D511" s="2" t="s">
        <v>460</v>
      </c>
      <c r="E511" s="2" t="s">
        <v>17</v>
      </c>
      <c r="F511" s="2">
        <v>23</v>
      </c>
      <c r="G511" s="2">
        <v>33</v>
      </c>
      <c r="H511" s="2">
        <v>27</v>
      </c>
      <c r="I511" s="2">
        <v>26</v>
      </c>
      <c r="J511" s="2">
        <v>18</v>
      </c>
      <c r="K511" s="2">
        <v>30</v>
      </c>
    </row>
    <row r="512" spans="1:11" x14ac:dyDescent="0.35">
      <c r="A512" s="2" t="s">
        <v>485</v>
      </c>
      <c r="B512" s="2" t="s">
        <v>486</v>
      </c>
      <c r="C512" s="2" t="s">
        <v>23</v>
      </c>
      <c r="D512" s="2" t="s">
        <v>460</v>
      </c>
      <c r="E512" s="2" t="s">
        <v>20</v>
      </c>
      <c r="F512" s="2">
        <v>12</v>
      </c>
      <c r="G512" s="2">
        <v>13</v>
      </c>
      <c r="H512" s="2">
        <v>16</v>
      </c>
      <c r="I512" s="2">
        <v>18</v>
      </c>
      <c r="J512" s="2">
        <v>24</v>
      </c>
      <c r="K512" s="2">
        <v>32</v>
      </c>
    </row>
    <row r="513" spans="1:11" x14ac:dyDescent="0.35">
      <c r="A513" s="2" t="s">
        <v>487</v>
      </c>
      <c r="B513" s="2" t="s">
        <v>488</v>
      </c>
      <c r="C513" s="2" t="s">
        <v>18</v>
      </c>
      <c r="D513" s="2" t="s">
        <v>460</v>
      </c>
      <c r="E513" s="2" t="s">
        <v>15</v>
      </c>
      <c r="F513" s="2">
        <v>38</v>
      </c>
      <c r="G513" s="2">
        <v>57</v>
      </c>
      <c r="H513" s="2">
        <v>56</v>
      </c>
      <c r="I513" s="2">
        <v>56</v>
      </c>
      <c r="J513" s="2" t="s">
        <v>330</v>
      </c>
      <c r="K513" s="2">
        <v>55</v>
      </c>
    </row>
    <row r="514" spans="1:11" x14ac:dyDescent="0.35">
      <c r="A514" s="2" t="s">
        <v>487</v>
      </c>
      <c r="B514" s="2" t="s">
        <v>488</v>
      </c>
      <c r="C514" s="2" t="s">
        <v>18</v>
      </c>
      <c r="D514" s="2" t="s">
        <v>460</v>
      </c>
      <c r="E514" s="2" t="s">
        <v>17</v>
      </c>
      <c r="F514" s="2">
        <v>71</v>
      </c>
      <c r="G514" s="2">
        <v>66</v>
      </c>
      <c r="H514" s="2">
        <v>51</v>
      </c>
      <c r="I514" s="2">
        <v>62</v>
      </c>
      <c r="J514" s="2">
        <v>62</v>
      </c>
      <c r="K514" s="2">
        <v>68</v>
      </c>
    </row>
    <row r="515" spans="1:11" x14ac:dyDescent="0.35">
      <c r="A515" s="2" t="s">
        <v>487</v>
      </c>
      <c r="B515" s="2" t="s">
        <v>488</v>
      </c>
      <c r="C515" s="2" t="s">
        <v>18</v>
      </c>
      <c r="D515" s="2" t="s">
        <v>460</v>
      </c>
      <c r="E515" s="2" t="s">
        <v>20</v>
      </c>
      <c r="F515" s="2">
        <v>64</v>
      </c>
      <c r="G515" s="2">
        <v>74</v>
      </c>
      <c r="H515" s="2">
        <v>67</v>
      </c>
      <c r="I515" s="2">
        <v>65</v>
      </c>
      <c r="J515" s="2">
        <v>78</v>
      </c>
      <c r="K515" s="2">
        <v>68</v>
      </c>
    </row>
    <row r="516" spans="1:11" x14ac:dyDescent="0.35">
      <c r="A516" s="2" t="s">
        <v>489</v>
      </c>
      <c r="B516" s="2" t="s">
        <v>490</v>
      </c>
      <c r="C516" s="2" t="s">
        <v>18</v>
      </c>
      <c r="D516" s="2" t="s">
        <v>484</v>
      </c>
      <c r="E516" s="2" t="s">
        <v>15</v>
      </c>
      <c r="F516" s="2">
        <v>52</v>
      </c>
      <c r="G516" s="2">
        <v>67</v>
      </c>
      <c r="H516" s="2">
        <v>54</v>
      </c>
      <c r="I516" s="2">
        <v>46</v>
      </c>
      <c r="J516" s="2">
        <v>63</v>
      </c>
      <c r="K516" s="2">
        <v>63</v>
      </c>
    </row>
    <row r="517" spans="1:11" x14ac:dyDescent="0.35">
      <c r="A517" s="2" t="s">
        <v>489</v>
      </c>
      <c r="B517" s="2" t="s">
        <v>491</v>
      </c>
      <c r="C517" s="2" t="s">
        <v>16</v>
      </c>
      <c r="D517" s="2" t="s">
        <v>460</v>
      </c>
      <c r="E517" s="2" t="s">
        <v>17</v>
      </c>
      <c r="F517" s="2">
        <v>44</v>
      </c>
      <c r="G517" s="2">
        <v>62</v>
      </c>
      <c r="H517" s="2">
        <v>56</v>
      </c>
      <c r="I517" s="2">
        <v>53</v>
      </c>
      <c r="J517" s="2">
        <v>63</v>
      </c>
      <c r="K517" s="2">
        <v>63</v>
      </c>
    </row>
    <row r="518" spans="1:11" x14ac:dyDescent="0.35">
      <c r="A518" s="2" t="s">
        <v>489</v>
      </c>
      <c r="B518" s="2" t="s">
        <v>492</v>
      </c>
      <c r="C518" s="2" t="s">
        <v>18</v>
      </c>
      <c r="D518" s="2" t="s">
        <v>460</v>
      </c>
      <c r="E518" s="2" t="s">
        <v>20</v>
      </c>
      <c r="F518" s="2">
        <v>42</v>
      </c>
      <c r="G518" s="2">
        <v>62</v>
      </c>
      <c r="H518" s="2">
        <v>48</v>
      </c>
      <c r="I518" s="2">
        <v>67</v>
      </c>
      <c r="J518" s="2">
        <v>55</v>
      </c>
      <c r="K518" s="2">
        <v>70</v>
      </c>
    </row>
    <row r="519" spans="1:11" x14ac:dyDescent="0.35">
      <c r="A519" s="2" t="s">
        <v>493</v>
      </c>
      <c r="B519" s="2" t="s">
        <v>494</v>
      </c>
      <c r="C519" s="2" t="s">
        <v>23</v>
      </c>
      <c r="D519" s="2" t="s">
        <v>481</v>
      </c>
      <c r="E519" s="2" t="s">
        <v>15</v>
      </c>
      <c r="F519" s="2">
        <v>53</v>
      </c>
      <c r="G519" s="2">
        <v>48</v>
      </c>
      <c r="H519" s="2">
        <v>60</v>
      </c>
      <c r="I519" s="2">
        <v>69</v>
      </c>
      <c r="J519" s="2">
        <v>52</v>
      </c>
      <c r="K519" s="2">
        <v>58</v>
      </c>
    </row>
    <row r="520" spans="1:11" x14ac:dyDescent="0.35">
      <c r="A520" s="2" t="s">
        <v>493</v>
      </c>
      <c r="B520" s="2" t="s">
        <v>494</v>
      </c>
      <c r="C520" s="2" t="s">
        <v>23</v>
      </c>
      <c r="D520" s="2" t="s">
        <v>460</v>
      </c>
      <c r="E520" s="2" t="s">
        <v>17</v>
      </c>
      <c r="F520" s="2">
        <v>47</v>
      </c>
      <c r="G520" s="2">
        <v>58</v>
      </c>
      <c r="H520" s="2">
        <v>68</v>
      </c>
      <c r="I520" s="2">
        <v>63</v>
      </c>
      <c r="J520" s="2">
        <v>74</v>
      </c>
      <c r="K520" s="2">
        <v>65</v>
      </c>
    </row>
    <row r="521" spans="1:11" x14ac:dyDescent="0.35">
      <c r="A521" s="2" t="s">
        <v>493</v>
      </c>
      <c r="B521" s="2" t="s">
        <v>494</v>
      </c>
      <c r="C521" s="2" t="s">
        <v>23</v>
      </c>
      <c r="D521" s="2" t="s">
        <v>495</v>
      </c>
      <c r="E521" s="2" t="s">
        <v>20</v>
      </c>
      <c r="F521" s="2">
        <v>65</v>
      </c>
      <c r="G521" s="2">
        <v>58</v>
      </c>
      <c r="H521" s="2">
        <v>57</v>
      </c>
      <c r="I521" s="2">
        <v>53</v>
      </c>
      <c r="J521" s="2">
        <v>72</v>
      </c>
      <c r="K521" s="2">
        <v>67</v>
      </c>
    </row>
    <row r="522" spans="1:11" x14ac:dyDescent="0.35">
      <c r="A522" s="2" t="s">
        <v>496</v>
      </c>
      <c r="B522" s="2" t="s">
        <v>497</v>
      </c>
      <c r="C522" s="2" t="s">
        <v>33</v>
      </c>
      <c r="D522" s="2" t="s">
        <v>460</v>
      </c>
      <c r="E522" s="2" t="s">
        <v>15</v>
      </c>
      <c r="F522" s="2">
        <v>48</v>
      </c>
      <c r="G522" s="2">
        <v>50</v>
      </c>
      <c r="H522" s="2">
        <v>59</v>
      </c>
      <c r="I522" s="2">
        <v>63</v>
      </c>
      <c r="J522" s="2"/>
      <c r="K522" s="2">
        <v>73</v>
      </c>
    </row>
    <row r="523" spans="1:11" x14ac:dyDescent="0.35">
      <c r="A523" s="2" t="s">
        <v>496</v>
      </c>
      <c r="B523" s="2" t="s">
        <v>497</v>
      </c>
      <c r="C523" s="2" t="s">
        <v>30</v>
      </c>
      <c r="D523" s="2" t="s">
        <v>460</v>
      </c>
      <c r="E523" s="2" t="s">
        <v>17</v>
      </c>
      <c r="F523" s="2">
        <v>53</v>
      </c>
      <c r="G523" s="2">
        <v>57</v>
      </c>
      <c r="H523" s="2">
        <v>70</v>
      </c>
      <c r="I523" s="2">
        <v>61</v>
      </c>
      <c r="J523" s="2">
        <v>62</v>
      </c>
      <c r="K523" s="2">
        <v>63</v>
      </c>
    </row>
    <row r="524" spans="1:11" x14ac:dyDescent="0.35">
      <c r="A524" s="2" t="s">
        <v>496</v>
      </c>
      <c r="B524" s="2" t="s">
        <v>498</v>
      </c>
      <c r="C524" s="2" t="s">
        <v>23</v>
      </c>
      <c r="D524" s="2" t="s">
        <v>473</v>
      </c>
      <c r="E524" s="2" t="s">
        <v>20</v>
      </c>
      <c r="F524" s="2">
        <v>70</v>
      </c>
      <c r="G524" s="2">
        <v>76</v>
      </c>
      <c r="H524" s="2">
        <v>66</v>
      </c>
      <c r="I524" s="2">
        <v>62</v>
      </c>
      <c r="J524" s="2">
        <v>60</v>
      </c>
      <c r="K524" s="2">
        <v>70</v>
      </c>
    </row>
    <row r="525" spans="1:11" x14ac:dyDescent="0.35">
      <c r="A525" s="2" t="s">
        <v>499</v>
      </c>
      <c r="B525" s="2" t="s">
        <v>500</v>
      </c>
      <c r="C525" s="2" t="s">
        <v>37</v>
      </c>
      <c r="D525" s="2" t="s">
        <v>460</v>
      </c>
      <c r="E525" s="2" t="s">
        <v>15</v>
      </c>
      <c r="F525" s="2">
        <v>60</v>
      </c>
      <c r="G525" s="2">
        <v>54</v>
      </c>
      <c r="H525" s="2">
        <v>72</v>
      </c>
      <c r="I525" s="2">
        <v>65</v>
      </c>
      <c r="J525" s="2">
        <v>74</v>
      </c>
      <c r="K525" s="2">
        <v>71</v>
      </c>
    </row>
    <row r="526" spans="1:11" x14ac:dyDescent="0.35">
      <c r="A526" s="2" t="s">
        <v>499</v>
      </c>
      <c r="B526" s="2" t="s">
        <v>500</v>
      </c>
      <c r="C526" s="2" t="s">
        <v>13</v>
      </c>
      <c r="D526" s="2" t="s">
        <v>460</v>
      </c>
      <c r="E526" s="2" t="s">
        <v>17</v>
      </c>
      <c r="F526" s="2">
        <v>57</v>
      </c>
      <c r="G526" s="2">
        <v>54</v>
      </c>
      <c r="H526" s="2">
        <v>55</v>
      </c>
      <c r="I526" s="2">
        <v>62</v>
      </c>
      <c r="J526" s="2">
        <v>67</v>
      </c>
      <c r="K526" s="2">
        <v>72</v>
      </c>
    </row>
    <row r="527" spans="1:11" x14ac:dyDescent="0.35">
      <c r="A527" s="2" t="s">
        <v>499</v>
      </c>
      <c r="B527" s="2" t="s">
        <v>500</v>
      </c>
      <c r="C527" s="2" t="s">
        <v>18</v>
      </c>
      <c r="D527" s="2" t="s">
        <v>460</v>
      </c>
      <c r="E527" s="2" t="s">
        <v>20</v>
      </c>
      <c r="F527" s="2">
        <v>53</v>
      </c>
      <c r="G527" s="2">
        <v>56</v>
      </c>
      <c r="H527" s="2">
        <v>67</v>
      </c>
      <c r="I527" s="2">
        <v>64</v>
      </c>
      <c r="J527" s="2">
        <v>69</v>
      </c>
      <c r="K527" s="2">
        <v>70</v>
      </c>
    </row>
    <row r="528" spans="1:11" x14ac:dyDescent="0.35">
      <c r="A528" s="2" t="s">
        <v>133</v>
      </c>
      <c r="B528" s="2" t="s">
        <v>134</v>
      </c>
      <c r="C528" s="2" t="s">
        <v>18</v>
      </c>
      <c r="D528" s="2" t="s">
        <v>131</v>
      </c>
      <c r="E528" s="2" t="s">
        <v>17</v>
      </c>
      <c r="F528" s="2">
        <v>64</v>
      </c>
      <c r="G528" s="2">
        <v>67</v>
      </c>
      <c r="H528" s="2">
        <v>60</v>
      </c>
      <c r="I528" s="2">
        <v>72</v>
      </c>
      <c r="J528" s="2">
        <v>69</v>
      </c>
      <c r="K528" s="2">
        <v>89</v>
      </c>
    </row>
    <row r="529" spans="1:11" x14ac:dyDescent="0.35">
      <c r="A529" s="2" t="s">
        <v>501</v>
      </c>
      <c r="B529" s="2" t="s">
        <v>502</v>
      </c>
      <c r="C529" s="2" t="s">
        <v>18</v>
      </c>
      <c r="D529" s="2" t="s">
        <v>460</v>
      </c>
      <c r="E529" s="2" t="s">
        <v>15</v>
      </c>
      <c r="F529" s="2">
        <v>60</v>
      </c>
      <c r="G529" s="2">
        <v>68</v>
      </c>
      <c r="H529" s="2">
        <v>76</v>
      </c>
      <c r="I529" s="2">
        <v>89</v>
      </c>
      <c r="J529" s="2">
        <v>79</v>
      </c>
      <c r="K529" s="2">
        <v>73</v>
      </c>
    </row>
    <row r="530" spans="1:11" x14ac:dyDescent="0.35">
      <c r="A530" s="2" t="s">
        <v>501</v>
      </c>
      <c r="B530" s="2" t="s">
        <v>502</v>
      </c>
      <c r="C530" s="2" t="s">
        <v>18</v>
      </c>
      <c r="D530" s="2" t="s">
        <v>495</v>
      </c>
      <c r="E530" s="2" t="s">
        <v>17</v>
      </c>
      <c r="F530" s="2">
        <v>80</v>
      </c>
      <c r="G530" s="2">
        <v>66</v>
      </c>
      <c r="H530" s="2">
        <v>69</v>
      </c>
      <c r="I530" s="2">
        <v>89</v>
      </c>
      <c r="J530" s="2">
        <v>78</v>
      </c>
      <c r="K530" s="2">
        <v>94</v>
      </c>
    </row>
    <row r="531" spans="1:11" x14ac:dyDescent="0.35">
      <c r="A531" s="2" t="s">
        <v>501</v>
      </c>
      <c r="B531" s="2" t="s">
        <v>502</v>
      </c>
      <c r="C531" s="2" t="s">
        <v>18</v>
      </c>
      <c r="D531" s="2" t="s">
        <v>460</v>
      </c>
      <c r="E531" s="2" t="s">
        <v>20</v>
      </c>
      <c r="F531" s="2">
        <v>65</v>
      </c>
      <c r="G531" s="2">
        <v>78</v>
      </c>
      <c r="H531" s="2">
        <v>83</v>
      </c>
      <c r="I531" s="2">
        <v>87</v>
      </c>
      <c r="J531" s="2">
        <v>89</v>
      </c>
      <c r="K531" s="2">
        <v>88</v>
      </c>
    </row>
    <row r="532" spans="1:11" x14ac:dyDescent="0.35">
      <c r="A532" s="2" t="s">
        <v>503</v>
      </c>
      <c r="B532" s="2" t="s">
        <v>504</v>
      </c>
      <c r="C532" s="2" t="s">
        <v>33</v>
      </c>
      <c r="D532" s="2" t="s">
        <v>495</v>
      </c>
      <c r="E532" s="2" t="s">
        <v>15</v>
      </c>
      <c r="F532" s="2">
        <v>47</v>
      </c>
      <c r="G532" s="2">
        <v>65</v>
      </c>
      <c r="H532" s="2">
        <v>51</v>
      </c>
      <c r="I532" s="2">
        <v>52</v>
      </c>
      <c r="J532" s="2">
        <v>61</v>
      </c>
      <c r="K532" s="2">
        <v>46</v>
      </c>
    </row>
    <row r="533" spans="1:11" x14ac:dyDescent="0.35">
      <c r="A533" s="2" t="s">
        <v>503</v>
      </c>
      <c r="B533" s="2" t="s">
        <v>504</v>
      </c>
      <c r="C533" s="2" t="s">
        <v>23</v>
      </c>
      <c r="D533" s="2" t="s">
        <v>460</v>
      </c>
      <c r="E533" s="2" t="s">
        <v>17</v>
      </c>
      <c r="F533" s="2">
        <v>62</v>
      </c>
      <c r="G533" s="2">
        <v>66</v>
      </c>
      <c r="H533" s="2">
        <v>60</v>
      </c>
      <c r="I533" s="2">
        <v>61</v>
      </c>
      <c r="J533" s="2">
        <v>54</v>
      </c>
      <c r="K533" s="2">
        <v>56</v>
      </c>
    </row>
    <row r="534" spans="1:11" x14ac:dyDescent="0.35">
      <c r="A534" s="2" t="s">
        <v>503</v>
      </c>
      <c r="B534" s="2" t="s">
        <v>504</v>
      </c>
      <c r="C534" s="2" t="s">
        <v>30</v>
      </c>
      <c r="D534" s="2" t="s">
        <v>460</v>
      </c>
      <c r="E534" s="2" t="s">
        <v>20</v>
      </c>
      <c r="F534" s="2">
        <v>66</v>
      </c>
      <c r="G534" s="2">
        <v>68</v>
      </c>
      <c r="H534" s="2">
        <v>68</v>
      </c>
      <c r="I534" s="2">
        <v>69</v>
      </c>
      <c r="J534" s="2">
        <v>73</v>
      </c>
      <c r="K534" s="2">
        <v>62</v>
      </c>
    </row>
    <row r="535" spans="1:11" x14ac:dyDescent="0.35">
      <c r="A535" s="2" t="s">
        <v>505</v>
      </c>
      <c r="B535" s="2" t="s">
        <v>506</v>
      </c>
      <c r="C535" s="2" t="s">
        <v>23</v>
      </c>
      <c r="D535" s="2" t="s">
        <v>460</v>
      </c>
      <c r="E535" s="2" t="s">
        <v>15</v>
      </c>
      <c r="F535" s="2">
        <v>50</v>
      </c>
      <c r="G535" s="2">
        <v>54</v>
      </c>
      <c r="H535" s="2">
        <v>56</v>
      </c>
      <c r="I535" s="2">
        <v>55</v>
      </c>
      <c r="J535" s="2">
        <v>48</v>
      </c>
      <c r="K535" s="2">
        <v>61</v>
      </c>
    </row>
    <row r="536" spans="1:11" x14ac:dyDescent="0.35">
      <c r="A536" s="2" t="s">
        <v>505</v>
      </c>
      <c r="B536" s="2" t="s">
        <v>506</v>
      </c>
      <c r="C536" s="2" t="s">
        <v>33</v>
      </c>
      <c r="D536" s="2" t="s">
        <v>460</v>
      </c>
      <c r="E536" s="2" t="s">
        <v>17</v>
      </c>
      <c r="F536" s="2">
        <v>37</v>
      </c>
      <c r="G536" s="2">
        <v>59</v>
      </c>
      <c r="H536" s="2">
        <v>52</v>
      </c>
      <c r="I536" s="2">
        <v>50</v>
      </c>
      <c r="J536" s="2">
        <v>58</v>
      </c>
      <c r="K536" s="2">
        <v>69</v>
      </c>
    </row>
    <row r="537" spans="1:11" x14ac:dyDescent="0.35">
      <c r="A537" s="2" t="s">
        <v>505</v>
      </c>
      <c r="B537" s="2" t="s">
        <v>506</v>
      </c>
      <c r="C537" s="2" t="s">
        <v>30</v>
      </c>
      <c r="D537" s="2" t="s">
        <v>460</v>
      </c>
      <c r="E537" s="2" t="s">
        <v>20</v>
      </c>
      <c r="F537" s="2">
        <v>39</v>
      </c>
      <c r="G537" s="2">
        <v>64</v>
      </c>
      <c r="H537" s="2">
        <v>51</v>
      </c>
      <c r="I537" s="2">
        <v>63</v>
      </c>
      <c r="J537" s="2">
        <v>58</v>
      </c>
      <c r="K537" s="2">
        <v>61</v>
      </c>
    </row>
    <row r="538" spans="1:11" x14ac:dyDescent="0.35">
      <c r="A538" s="2" t="s">
        <v>507</v>
      </c>
      <c r="B538" s="2" t="s">
        <v>508</v>
      </c>
      <c r="C538" s="2" t="s">
        <v>18</v>
      </c>
      <c r="D538" s="2" t="s">
        <v>460</v>
      </c>
      <c r="E538" s="2" t="s">
        <v>15</v>
      </c>
      <c r="F538" s="2">
        <v>68</v>
      </c>
      <c r="G538" s="2">
        <v>63</v>
      </c>
      <c r="H538" s="2">
        <v>59</v>
      </c>
      <c r="I538" s="2">
        <v>66</v>
      </c>
      <c r="J538" s="2">
        <v>74</v>
      </c>
      <c r="K538" s="2">
        <v>66</v>
      </c>
    </row>
    <row r="539" spans="1:11" x14ac:dyDescent="0.35">
      <c r="A539" s="2" t="s">
        <v>507</v>
      </c>
      <c r="B539" s="2" t="s">
        <v>508</v>
      </c>
      <c r="C539" s="2" t="s">
        <v>18</v>
      </c>
      <c r="D539" s="2" t="s">
        <v>460</v>
      </c>
      <c r="E539" s="2" t="s">
        <v>17</v>
      </c>
      <c r="F539" s="2">
        <v>51</v>
      </c>
      <c r="G539" s="2">
        <v>62</v>
      </c>
      <c r="H539" s="2">
        <v>65</v>
      </c>
      <c r="I539" s="2">
        <v>66</v>
      </c>
      <c r="J539" s="2">
        <v>70</v>
      </c>
      <c r="K539" s="2">
        <v>64</v>
      </c>
    </row>
    <row r="540" spans="1:11" x14ac:dyDescent="0.35">
      <c r="A540" s="2" t="s">
        <v>507</v>
      </c>
      <c r="B540" s="2" t="s">
        <v>508</v>
      </c>
      <c r="C540" s="2" t="s">
        <v>18</v>
      </c>
      <c r="D540" s="2" t="s">
        <v>460</v>
      </c>
      <c r="E540" s="2" t="s">
        <v>20</v>
      </c>
      <c r="F540" s="2">
        <v>68</v>
      </c>
      <c r="G540" s="2">
        <v>67</v>
      </c>
      <c r="H540" s="2">
        <v>65</v>
      </c>
      <c r="I540" s="2">
        <v>68</v>
      </c>
      <c r="J540" s="2">
        <v>73</v>
      </c>
      <c r="K540" s="2">
        <v>70</v>
      </c>
    </row>
    <row r="541" spans="1:11" x14ac:dyDescent="0.35">
      <c r="A541" s="2" t="s">
        <v>509</v>
      </c>
      <c r="B541" s="2" t="s">
        <v>510</v>
      </c>
      <c r="C541" s="2" t="s">
        <v>37</v>
      </c>
      <c r="D541" s="2" t="s">
        <v>460</v>
      </c>
      <c r="E541" s="2" t="s">
        <v>15</v>
      </c>
      <c r="F541" s="2">
        <v>48</v>
      </c>
      <c r="G541" s="2">
        <v>60</v>
      </c>
      <c r="H541" s="2">
        <v>50</v>
      </c>
      <c r="I541" s="2">
        <v>57</v>
      </c>
      <c r="J541" s="2">
        <v>49</v>
      </c>
      <c r="K541" s="2">
        <v>59</v>
      </c>
    </row>
    <row r="542" spans="1:11" x14ac:dyDescent="0.35">
      <c r="A542" s="2" t="s">
        <v>509</v>
      </c>
      <c r="B542" s="2" t="s">
        <v>510</v>
      </c>
      <c r="C542" s="2" t="s">
        <v>18</v>
      </c>
      <c r="D542" s="2" t="s">
        <v>460</v>
      </c>
      <c r="E542" s="2" t="s">
        <v>17</v>
      </c>
      <c r="F542" s="2">
        <v>40</v>
      </c>
      <c r="G542" s="2">
        <v>48</v>
      </c>
      <c r="H542" s="2">
        <v>48</v>
      </c>
      <c r="I542" s="2">
        <v>71</v>
      </c>
      <c r="J542" s="2">
        <v>66</v>
      </c>
      <c r="K542" s="2">
        <v>63</v>
      </c>
    </row>
    <row r="543" spans="1:11" x14ac:dyDescent="0.35">
      <c r="A543" s="2" t="s">
        <v>509</v>
      </c>
      <c r="B543" s="2" t="s">
        <v>510</v>
      </c>
      <c r="C543" s="2" t="s">
        <v>18</v>
      </c>
      <c r="D543" s="2" t="s">
        <v>460</v>
      </c>
      <c r="E543" s="2" t="s">
        <v>20</v>
      </c>
      <c r="F543" s="2">
        <v>50</v>
      </c>
      <c r="G543" s="2">
        <v>62</v>
      </c>
      <c r="H543" s="2">
        <v>37</v>
      </c>
      <c r="I543" s="2">
        <v>48</v>
      </c>
      <c r="J543" s="2">
        <v>57</v>
      </c>
      <c r="K543" s="2">
        <v>54</v>
      </c>
    </row>
    <row r="544" spans="1:11" x14ac:dyDescent="0.35">
      <c r="A544" s="2" t="s">
        <v>511</v>
      </c>
      <c r="B544" s="2" t="s">
        <v>512</v>
      </c>
      <c r="C544" s="2" t="s">
        <v>18</v>
      </c>
      <c r="D544" s="2" t="s">
        <v>495</v>
      </c>
      <c r="E544" s="2" t="s">
        <v>15</v>
      </c>
      <c r="F544" s="2">
        <v>38</v>
      </c>
      <c r="G544" s="2">
        <v>50</v>
      </c>
      <c r="H544" s="2">
        <v>56</v>
      </c>
      <c r="I544" s="2">
        <v>63</v>
      </c>
      <c r="J544" s="2">
        <v>57</v>
      </c>
      <c r="K544" s="2">
        <v>61</v>
      </c>
    </row>
    <row r="545" spans="1:11" x14ac:dyDescent="0.35">
      <c r="A545" s="2" t="s">
        <v>511</v>
      </c>
      <c r="B545" s="2" t="s">
        <v>512</v>
      </c>
      <c r="C545" s="2" t="s">
        <v>13</v>
      </c>
      <c r="D545" s="2" t="s">
        <v>460</v>
      </c>
      <c r="E545" s="2" t="s">
        <v>17</v>
      </c>
      <c r="F545" s="2">
        <v>57</v>
      </c>
      <c r="G545" s="2">
        <v>40</v>
      </c>
      <c r="H545" s="2">
        <v>61</v>
      </c>
      <c r="I545" s="2">
        <v>47</v>
      </c>
      <c r="J545" s="2">
        <v>65</v>
      </c>
      <c r="K545" s="2">
        <v>68</v>
      </c>
    </row>
    <row r="546" spans="1:11" x14ac:dyDescent="0.35">
      <c r="A546" s="2" t="s">
        <v>511</v>
      </c>
      <c r="B546" s="2" t="s">
        <v>512</v>
      </c>
      <c r="C546" s="2" t="s">
        <v>37</v>
      </c>
      <c r="D546" s="2" t="s">
        <v>495</v>
      </c>
      <c r="E546" s="2" t="s">
        <v>20</v>
      </c>
      <c r="F546" s="2">
        <v>62</v>
      </c>
      <c r="G546" s="2">
        <v>60</v>
      </c>
      <c r="H546" s="2">
        <v>66</v>
      </c>
      <c r="I546" s="2">
        <v>71</v>
      </c>
      <c r="J546" s="2">
        <v>75</v>
      </c>
      <c r="K546" s="2">
        <v>59</v>
      </c>
    </row>
    <row r="547" spans="1:11" x14ac:dyDescent="0.35">
      <c r="A547" s="2" t="s">
        <v>513</v>
      </c>
      <c r="B547" s="2" t="s">
        <v>514</v>
      </c>
      <c r="C547" s="2" t="s">
        <v>18</v>
      </c>
      <c r="D547" s="2" t="s">
        <v>460</v>
      </c>
      <c r="E547" s="2" t="s">
        <v>15</v>
      </c>
      <c r="F547" s="2">
        <v>25</v>
      </c>
      <c r="G547" s="2">
        <v>39</v>
      </c>
      <c r="H547" s="2">
        <v>33</v>
      </c>
      <c r="I547" s="2">
        <v>44</v>
      </c>
      <c r="J547" s="2">
        <v>44</v>
      </c>
      <c r="K547" s="2">
        <v>44</v>
      </c>
    </row>
    <row r="548" spans="1:11" x14ac:dyDescent="0.35">
      <c r="A548" s="2" t="s">
        <v>513</v>
      </c>
      <c r="B548" s="2" t="s">
        <v>514</v>
      </c>
      <c r="C548" s="2" t="s">
        <v>18</v>
      </c>
      <c r="D548" s="2" t="s">
        <v>460</v>
      </c>
      <c r="E548" s="2" t="s">
        <v>17</v>
      </c>
      <c r="F548" s="2">
        <v>37</v>
      </c>
      <c r="G548" s="2">
        <v>41</v>
      </c>
      <c r="H548" s="2">
        <v>32</v>
      </c>
      <c r="I548" s="2">
        <v>47</v>
      </c>
      <c r="J548" s="2">
        <v>39</v>
      </c>
      <c r="K548" s="2">
        <v>57</v>
      </c>
    </row>
    <row r="549" spans="1:11" x14ac:dyDescent="0.35">
      <c r="A549" s="2" t="s">
        <v>513</v>
      </c>
      <c r="B549" s="2" t="s">
        <v>515</v>
      </c>
      <c r="C549" s="2" t="s">
        <v>18</v>
      </c>
      <c r="D549" s="2" t="s">
        <v>460</v>
      </c>
      <c r="E549" s="2" t="s">
        <v>20</v>
      </c>
      <c r="F549" s="2">
        <v>45</v>
      </c>
      <c r="G549" s="2">
        <v>38</v>
      </c>
      <c r="H549" s="2">
        <v>42</v>
      </c>
      <c r="I549" s="2">
        <v>36</v>
      </c>
      <c r="J549" s="2">
        <v>48</v>
      </c>
      <c r="K549" s="2">
        <v>60</v>
      </c>
    </row>
    <row r="550" spans="1:11" x14ac:dyDescent="0.35">
      <c r="A550" s="2" t="s">
        <v>516</v>
      </c>
      <c r="B550" s="2" t="s">
        <v>517</v>
      </c>
      <c r="C550" s="2" t="s">
        <v>37</v>
      </c>
      <c r="D550" s="2" t="s">
        <v>460</v>
      </c>
      <c r="E550" s="2" t="s">
        <v>15</v>
      </c>
      <c r="F550" s="2">
        <v>52</v>
      </c>
      <c r="G550" s="2">
        <v>64</v>
      </c>
      <c r="H550" s="2">
        <v>64</v>
      </c>
      <c r="I550" s="2">
        <v>61</v>
      </c>
      <c r="J550" s="2">
        <v>69</v>
      </c>
      <c r="K550" s="2">
        <v>62</v>
      </c>
    </row>
    <row r="551" spans="1:11" x14ac:dyDescent="0.35">
      <c r="A551" s="2" t="s">
        <v>516</v>
      </c>
      <c r="B551" s="2" t="s">
        <v>518</v>
      </c>
      <c r="C551" s="2" t="s">
        <v>18</v>
      </c>
      <c r="D551" s="2" t="s">
        <v>484</v>
      </c>
      <c r="E551" s="2" t="s">
        <v>17</v>
      </c>
      <c r="F551" s="2">
        <v>57</v>
      </c>
      <c r="G551" s="2">
        <v>51</v>
      </c>
      <c r="H551" s="2">
        <v>55</v>
      </c>
      <c r="I551" s="2">
        <v>62</v>
      </c>
      <c r="J551" s="2">
        <v>70</v>
      </c>
      <c r="K551" s="2">
        <v>60</v>
      </c>
    </row>
    <row r="552" spans="1:11" x14ac:dyDescent="0.35">
      <c r="A552" s="2" t="s">
        <v>516</v>
      </c>
      <c r="B552" s="2" t="s">
        <v>518</v>
      </c>
      <c r="C552" s="2" t="s">
        <v>18</v>
      </c>
      <c r="D552" s="2" t="s">
        <v>460</v>
      </c>
      <c r="E552" s="2" t="s">
        <v>20</v>
      </c>
      <c r="F552" s="2">
        <v>61</v>
      </c>
      <c r="G552" s="2">
        <v>55</v>
      </c>
      <c r="H552" s="2">
        <v>61</v>
      </c>
      <c r="I552" s="2">
        <v>64</v>
      </c>
      <c r="J552" s="2">
        <v>81</v>
      </c>
      <c r="K552" s="2">
        <v>67</v>
      </c>
    </row>
    <row r="553" spans="1:11" x14ac:dyDescent="0.35">
      <c r="A553" s="2" t="s">
        <v>519</v>
      </c>
      <c r="B553" s="2" t="s">
        <v>520</v>
      </c>
      <c r="C553" s="2" t="s">
        <v>25</v>
      </c>
      <c r="D553" s="2" t="s">
        <v>460</v>
      </c>
      <c r="E553" s="2" t="s">
        <v>15</v>
      </c>
      <c r="F553" s="2">
        <v>59</v>
      </c>
      <c r="G553" s="2">
        <v>72</v>
      </c>
      <c r="H553" s="2">
        <v>59</v>
      </c>
      <c r="I553" s="2">
        <v>72</v>
      </c>
      <c r="J553" s="2">
        <v>69</v>
      </c>
      <c r="K553" s="2">
        <v>66</v>
      </c>
    </row>
    <row r="554" spans="1:11" x14ac:dyDescent="0.35">
      <c r="A554" s="2" t="s">
        <v>519</v>
      </c>
      <c r="B554" s="2" t="s">
        <v>521</v>
      </c>
      <c r="C554" s="2" t="s">
        <v>23</v>
      </c>
      <c r="D554" s="2" t="s">
        <v>460</v>
      </c>
      <c r="E554" s="2" t="s">
        <v>17</v>
      </c>
      <c r="F554" s="2">
        <v>47</v>
      </c>
      <c r="G554" s="2">
        <v>64</v>
      </c>
      <c r="H554" s="2">
        <v>52</v>
      </c>
      <c r="I554" s="2">
        <v>67</v>
      </c>
      <c r="J554" s="2">
        <v>63</v>
      </c>
      <c r="K554" s="2">
        <v>58</v>
      </c>
    </row>
    <row r="555" spans="1:11" x14ac:dyDescent="0.35">
      <c r="A555" s="2" t="s">
        <v>519</v>
      </c>
      <c r="B555" s="2" t="s">
        <v>522</v>
      </c>
      <c r="C555" s="2" t="s">
        <v>23</v>
      </c>
      <c r="D555" s="2" t="s">
        <v>481</v>
      </c>
      <c r="E555" s="2" t="s">
        <v>20</v>
      </c>
      <c r="F555" s="2">
        <v>44</v>
      </c>
      <c r="G555" s="2">
        <v>66</v>
      </c>
      <c r="H555" s="2">
        <v>49</v>
      </c>
      <c r="I555" s="2">
        <v>48</v>
      </c>
      <c r="J555" s="2">
        <v>57</v>
      </c>
      <c r="K555" s="2">
        <v>54</v>
      </c>
    </row>
    <row r="556" spans="1:11" x14ac:dyDescent="0.35">
      <c r="A556" s="2" t="s">
        <v>523</v>
      </c>
      <c r="B556" s="2" t="s">
        <v>524</v>
      </c>
      <c r="C556" s="2" t="s">
        <v>16</v>
      </c>
      <c r="D556" s="2" t="s">
        <v>460</v>
      </c>
      <c r="E556" s="2" t="s">
        <v>15</v>
      </c>
      <c r="F556" s="2">
        <v>51</v>
      </c>
      <c r="G556" s="2">
        <v>70</v>
      </c>
      <c r="H556" s="2">
        <v>58</v>
      </c>
      <c r="I556" s="2">
        <v>79</v>
      </c>
      <c r="J556" s="2">
        <v>79</v>
      </c>
      <c r="K556" s="2" t="s">
        <v>113</v>
      </c>
    </row>
    <row r="557" spans="1:11" x14ac:dyDescent="0.35">
      <c r="A557" s="2" t="s">
        <v>523</v>
      </c>
      <c r="B557" s="2" t="s">
        <v>524</v>
      </c>
      <c r="C557" s="2" t="s">
        <v>16</v>
      </c>
      <c r="D557" s="2" t="s">
        <v>460</v>
      </c>
      <c r="E557" s="2" t="s">
        <v>17</v>
      </c>
      <c r="F557" s="2">
        <v>64</v>
      </c>
      <c r="G557" s="2">
        <v>64</v>
      </c>
      <c r="H557" s="2">
        <v>70</v>
      </c>
      <c r="I557" s="2">
        <v>68</v>
      </c>
      <c r="J557" s="2">
        <v>82</v>
      </c>
      <c r="K557" s="2">
        <v>67</v>
      </c>
    </row>
    <row r="558" spans="1:11" x14ac:dyDescent="0.35">
      <c r="A558" s="2" t="s">
        <v>523</v>
      </c>
      <c r="B558" s="2" t="s">
        <v>524</v>
      </c>
      <c r="C558" s="2" t="s">
        <v>16</v>
      </c>
      <c r="D558" s="2" t="s">
        <v>460</v>
      </c>
      <c r="E558" s="2" t="s">
        <v>20</v>
      </c>
      <c r="F558" s="2">
        <v>77</v>
      </c>
      <c r="G558" s="2">
        <v>73</v>
      </c>
      <c r="H558" s="2">
        <v>66</v>
      </c>
      <c r="I558" s="2">
        <v>68</v>
      </c>
      <c r="J558" s="2">
        <v>81</v>
      </c>
      <c r="K558" s="2">
        <v>82</v>
      </c>
    </row>
    <row r="559" spans="1:11" x14ac:dyDescent="0.35">
      <c r="A559" s="2" t="s">
        <v>525</v>
      </c>
      <c r="B559" s="2" t="s">
        <v>526</v>
      </c>
      <c r="C559" s="2" t="s">
        <v>18</v>
      </c>
      <c r="D559" s="2" t="s">
        <v>460</v>
      </c>
      <c r="E559" s="2" t="s">
        <v>15</v>
      </c>
      <c r="F559" s="2">
        <v>59</v>
      </c>
      <c r="G559" s="2">
        <v>60</v>
      </c>
      <c r="H559" s="2">
        <v>54</v>
      </c>
      <c r="I559" s="2">
        <v>64</v>
      </c>
      <c r="J559" s="2">
        <v>56</v>
      </c>
      <c r="K559" s="2">
        <v>65</v>
      </c>
    </row>
    <row r="560" spans="1:11" x14ac:dyDescent="0.35">
      <c r="A560" s="2" t="s">
        <v>324</v>
      </c>
      <c r="B560" s="2" t="s">
        <v>325</v>
      </c>
      <c r="C560" s="2" t="s">
        <v>18</v>
      </c>
      <c r="D560" s="2" t="s">
        <v>247</v>
      </c>
      <c r="E560" s="2" t="s">
        <v>17</v>
      </c>
      <c r="F560" s="2">
        <v>72</v>
      </c>
      <c r="G560" s="2">
        <v>83</v>
      </c>
      <c r="H560" s="2">
        <v>64</v>
      </c>
      <c r="I560" s="2">
        <v>82</v>
      </c>
      <c r="J560" s="2">
        <v>98</v>
      </c>
      <c r="K560" s="2">
        <v>92</v>
      </c>
    </row>
    <row r="561" spans="1:11" x14ac:dyDescent="0.35">
      <c r="A561" s="2" t="s">
        <v>525</v>
      </c>
      <c r="B561" s="2" t="s">
        <v>527</v>
      </c>
      <c r="C561" s="2" t="s">
        <v>18</v>
      </c>
      <c r="D561" s="2" t="s">
        <v>460</v>
      </c>
      <c r="E561" s="2" t="s">
        <v>17</v>
      </c>
      <c r="F561" s="2">
        <v>49</v>
      </c>
      <c r="G561" s="2">
        <v>70</v>
      </c>
      <c r="H561" s="2">
        <v>62</v>
      </c>
      <c r="I561" s="2">
        <v>61</v>
      </c>
      <c r="J561" s="2">
        <v>61</v>
      </c>
      <c r="K561" s="2">
        <v>74</v>
      </c>
    </row>
    <row r="562" spans="1:11" x14ac:dyDescent="0.35">
      <c r="A562" s="2" t="s">
        <v>525</v>
      </c>
      <c r="B562" s="2" t="s">
        <v>527</v>
      </c>
      <c r="C562" s="2" t="s">
        <v>37</v>
      </c>
      <c r="D562" s="2" t="s">
        <v>460</v>
      </c>
      <c r="E562" s="2" t="s">
        <v>20</v>
      </c>
      <c r="F562" s="2">
        <v>51</v>
      </c>
      <c r="G562" s="2">
        <v>60</v>
      </c>
      <c r="H562" s="2">
        <v>63</v>
      </c>
      <c r="I562" s="2">
        <v>59</v>
      </c>
      <c r="J562" s="2">
        <v>74</v>
      </c>
      <c r="K562" s="2">
        <v>69</v>
      </c>
    </row>
    <row r="563" spans="1:11" x14ac:dyDescent="0.35">
      <c r="A563" s="2" t="s">
        <v>528</v>
      </c>
      <c r="B563" s="2" t="s">
        <v>529</v>
      </c>
      <c r="C563" s="2" t="s">
        <v>23</v>
      </c>
      <c r="D563" s="2" t="s">
        <v>460</v>
      </c>
      <c r="E563" s="2" t="s">
        <v>15</v>
      </c>
      <c r="F563" s="2">
        <v>75</v>
      </c>
      <c r="G563" s="2">
        <v>70</v>
      </c>
      <c r="H563" s="2">
        <v>88</v>
      </c>
      <c r="I563" s="2">
        <v>76</v>
      </c>
      <c r="J563" s="2">
        <v>76</v>
      </c>
      <c r="K563" s="2">
        <v>67</v>
      </c>
    </row>
    <row r="564" spans="1:11" x14ac:dyDescent="0.35">
      <c r="A564" s="2" t="s">
        <v>528</v>
      </c>
      <c r="B564" s="2" t="s">
        <v>529</v>
      </c>
      <c r="C564" s="2" t="s">
        <v>25</v>
      </c>
      <c r="D564" s="2" t="s">
        <v>460</v>
      </c>
      <c r="E564" s="2" t="s">
        <v>17</v>
      </c>
      <c r="F564" s="2">
        <v>67</v>
      </c>
      <c r="G564" s="2">
        <v>61</v>
      </c>
      <c r="H564" s="2">
        <v>67</v>
      </c>
      <c r="I564" s="2">
        <v>71</v>
      </c>
      <c r="J564" s="2">
        <v>81</v>
      </c>
      <c r="K564" s="2">
        <v>75</v>
      </c>
    </row>
    <row r="565" spans="1:11" x14ac:dyDescent="0.35">
      <c r="A565" s="2" t="s">
        <v>528</v>
      </c>
      <c r="B565" s="2" t="s">
        <v>529</v>
      </c>
      <c r="C565" s="2" t="s">
        <v>23</v>
      </c>
      <c r="D565" s="2" t="s">
        <v>460</v>
      </c>
      <c r="E565" s="2" t="s">
        <v>20</v>
      </c>
      <c r="F565" s="2">
        <v>63</v>
      </c>
      <c r="G565" s="2">
        <v>66</v>
      </c>
      <c r="H565" s="2">
        <v>67</v>
      </c>
      <c r="I565" s="2">
        <v>70</v>
      </c>
      <c r="J565" s="2">
        <v>88</v>
      </c>
      <c r="K565" s="2">
        <v>71</v>
      </c>
    </row>
    <row r="566" spans="1:11" x14ac:dyDescent="0.35">
      <c r="A566" s="2" t="s">
        <v>530</v>
      </c>
      <c r="B566" s="2" t="s">
        <v>531</v>
      </c>
      <c r="C566" s="2" t="s">
        <v>18</v>
      </c>
      <c r="D566" s="2" t="s">
        <v>460</v>
      </c>
      <c r="E566" s="2" t="s">
        <v>15</v>
      </c>
      <c r="F566" s="2">
        <v>68</v>
      </c>
      <c r="G566" s="2">
        <v>78</v>
      </c>
      <c r="H566" s="2">
        <v>88</v>
      </c>
      <c r="I566" s="2">
        <v>71</v>
      </c>
      <c r="J566" s="2">
        <v>96</v>
      </c>
      <c r="K566" s="2">
        <v>82</v>
      </c>
    </row>
    <row r="567" spans="1:11" x14ac:dyDescent="0.35">
      <c r="A567" s="2" t="s">
        <v>530</v>
      </c>
      <c r="B567" s="2" t="s">
        <v>531</v>
      </c>
      <c r="C567" s="2" t="s">
        <v>18</v>
      </c>
      <c r="D567" s="2" t="s">
        <v>460</v>
      </c>
      <c r="E567" s="2" t="s">
        <v>17</v>
      </c>
      <c r="F567" s="2">
        <v>73</v>
      </c>
      <c r="G567" s="2">
        <v>77</v>
      </c>
      <c r="H567" s="2">
        <v>87</v>
      </c>
      <c r="I567" s="2">
        <v>84</v>
      </c>
      <c r="J567" s="2">
        <v>91</v>
      </c>
      <c r="K567" s="2">
        <v>92</v>
      </c>
    </row>
    <row r="568" spans="1:11" x14ac:dyDescent="0.35">
      <c r="A568" s="2" t="s">
        <v>530</v>
      </c>
      <c r="B568" s="2" t="s">
        <v>531</v>
      </c>
      <c r="C568" s="2" t="s">
        <v>18</v>
      </c>
      <c r="D568" s="2" t="s">
        <v>460</v>
      </c>
      <c r="E568" s="2" t="s">
        <v>20</v>
      </c>
      <c r="F568" s="2">
        <v>67</v>
      </c>
      <c r="G568" s="2">
        <v>89</v>
      </c>
      <c r="H568" s="2">
        <v>91</v>
      </c>
      <c r="I568" s="2">
        <v>84</v>
      </c>
      <c r="J568" s="2">
        <v>85</v>
      </c>
      <c r="K568" s="2">
        <v>95</v>
      </c>
    </row>
    <row r="569" spans="1:11" x14ac:dyDescent="0.35">
      <c r="A569" s="2" t="s">
        <v>532</v>
      </c>
      <c r="B569" s="2" t="s">
        <v>533</v>
      </c>
      <c r="C569" s="2" t="s">
        <v>33</v>
      </c>
      <c r="D569" s="2" t="s">
        <v>460</v>
      </c>
      <c r="E569" s="2" t="s">
        <v>15</v>
      </c>
      <c r="F569" s="2">
        <v>91</v>
      </c>
      <c r="G569" s="2">
        <v>96</v>
      </c>
      <c r="H569" s="2">
        <v>96</v>
      </c>
      <c r="I569" s="2">
        <v>83</v>
      </c>
      <c r="J569" s="2">
        <v>94</v>
      </c>
      <c r="K569" s="2">
        <v>88</v>
      </c>
    </row>
    <row r="570" spans="1:11" x14ac:dyDescent="0.35">
      <c r="A570" s="2" t="s">
        <v>532</v>
      </c>
      <c r="B570" s="2" t="s">
        <v>534</v>
      </c>
      <c r="C570" s="2" t="s">
        <v>30</v>
      </c>
      <c r="D570" s="2" t="s">
        <v>460</v>
      </c>
      <c r="E570" s="2" t="s">
        <v>17</v>
      </c>
      <c r="F570" s="2">
        <v>84</v>
      </c>
      <c r="G570" s="2">
        <v>84</v>
      </c>
      <c r="H570" s="2">
        <v>70</v>
      </c>
      <c r="I570" s="2">
        <v>92</v>
      </c>
      <c r="J570" s="2">
        <v>74</v>
      </c>
      <c r="K570" s="2">
        <v>98</v>
      </c>
    </row>
    <row r="571" spans="1:11" x14ac:dyDescent="0.35">
      <c r="A571" s="2" t="s">
        <v>532</v>
      </c>
      <c r="B571" s="2" t="s">
        <v>533</v>
      </c>
      <c r="C571" s="2" t="s">
        <v>23</v>
      </c>
      <c r="D571" s="2" t="s">
        <v>473</v>
      </c>
      <c r="E571" s="2" t="s">
        <v>20</v>
      </c>
      <c r="F571" s="2">
        <v>97</v>
      </c>
      <c r="G571" s="2">
        <v>80</v>
      </c>
      <c r="H571" s="2">
        <v>82</v>
      </c>
      <c r="I571" s="2">
        <v>88</v>
      </c>
      <c r="J571" s="2">
        <v>91</v>
      </c>
      <c r="K571" s="2">
        <v>94</v>
      </c>
    </row>
    <row r="572" spans="1:11" x14ac:dyDescent="0.35">
      <c r="A572" s="2" t="s">
        <v>535</v>
      </c>
      <c r="B572" s="2" t="s">
        <v>536</v>
      </c>
      <c r="C572" s="2" t="s">
        <v>13</v>
      </c>
      <c r="D572" s="2" t="s">
        <v>460</v>
      </c>
      <c r="E572" s="2" t="s">
        <v>15</v>
      </c>
      <c r="F572" s="2">
        <v>21</v>
      </c>
      <c r="G572" s="2">
        <v>32</v>
      </c>
      <c r="H572" s="2">
        <v>43</v>
      </c>
      <c r="I572" s="2">
        <v>45</v>
      </c>
      <c r="J572" s="2">
        <v>38</v>
      </c>
      <c r="K572" s="2">
        <v>36</v>
      </c>
    </row>
    <row r="573" spans="1:11" x14ac:dyDescent="0.35">
      <c r="A573" s="2" t="s">
        <v>535</v>
      </c>
      <c r="B573" s="2" t="s">
        <v>537</v>
      </c>
      <c r="C573" s="2" t="s">
        <v>13</v>
      </c>
      <c r="D573" s="2" t="s">
        <v>460</v>
      </c>
      <c r="E573" s="2" t="s">
        <v>17</v>
      </c>
      <c r="F573" s="2">
        <v>40</v>
      </c>
      <c r="G573" s="2">
        <v>40</v>
      </c>
      <c r="H573" s="2">
        <v>48</v>
      </c>
      <c r="I573" s="2">
        <v>54</v>
      </c>
      <c r="J573" s="2">
        <v>52</v>
      </c>
      <c r="K573" s="2">
        <v>52</v>
      </c>
    </row>
    <row r="574" spans="1:11" x14ac:dyDescent="0.35">
      <c r="A574" s="2" t="s">
        <v>535</v>
      </c>
      <c r="B574" s="2" t="s">
        <v>537</v>
      </c>
      <c r="C574" s="2" t="s">
        <v>18</v>
      </c>
      <c r="D574" s="2" t="s">
        <v>460</v>
      </c>
      <c r="E574" s="2" t="s">
        <v>20</v>
      </c>
      <c r="F574" s="2">
        <v>44</v>
      </c>
      <c r="G574" s="2">
        <v>54</v>
      </c>
      <c r="H574" s="2">
        <v>41</v>
      </c>
      <c r="I574" s="2">
        <v>40</v>
      </c>
      <c r="J574" s="2">
        <v>56</v>
      </c>
      <c r="K574" s="2">
        <v>56</v>
      </c>
    </row>
    <row r="575" spans="1:11" x14ac:dyDescent="0.35">
      <c r="A575" s="2" t="s">
        <v>538</v>
      </c>
      <c r="B575" s="2" t="s">
        <v>539</v>
      </c>
      <c r="C575" s="2" t="s">
        <v>23</v>
      </c>
      <c r="D575" s="2" t="s">
        <v>460</v>
      </c>
      <c r="E575" s="2" t="s">
        <v>15</v>
      </c>
      <c r="F575" s="2">
        <v>66</v>
      </c>
      <c r="G575" s="2">
        <v>69</v>
      </c>
      <c r="H575" s="2">
        <v>52</v>
      </c>
      <c r="I575" s="2">
        <v>93</v>
      </c>
      <c r="J575" s="2">
        <v>93</v>
      </c>
      <c r="K575" s="2">
        <v>73</v>
      </c>
    </row>
    <row r="576" spans="1:11" x14ac:dyDescent="0.35">
      <c r="A576" s="2" t="s">
        <v>538</v>
      </c>
      <c r="B576" s="2" t="s">
        <v>540</v>
      </c>
      <c r="C576" s="2" t="s">
        <v>23</v>
      </c>
      <c r="D576" s="2" t="s">
        <v>460</v>
      </c>
      <c r="E576" s="2" t="s">
        <v>17</v>
      </c>
      <c r="F576" s="2">
        <v>72</v>
      </c>
      <c r="G576" s="2"/>
      <c r="H576" s="2">
        <v>72</v>
      </c>
      <c r="I576" s="2">
        <v>78</v>
      </c>
      <c r="J576" s="2">
        <v>84</v>
      </c>
      <c r="K576" s="2">
        <v>74</v>
      </c>
    </row>
    <row r="577" spans="1:11" x14ac:dyDescent="0.35">
      <c r="A577" s="2" t="s">
        <v>538</v>
      </c>
      <c r="B577" s="2" t="s">
        <v>539</v>
      </c>
      <c r="C577" s="2" t="s">
        <v>23</v>
      </c>
      <c r="D577" s="2" t="s">
        <v>460</v>
      </c>
      <c r="E577" s="2" t="s">
        <v>20</v>
      </c>
      <c r="F577" s="2">
        <v>73</v>
      </c>
      <c r="G577" s="2">
        <v>79</v>
      </c>
      <c r="H577" s="2">
        <v>55</v>
      </c>
      <c r="I577" s="2">
        <v>88</v>
      </c>
      <c r="J577" s="2">
        <v>83</v>
      </c>
      <c r="K577" s="2">
        <v>76</v>
      </c>
    </row>
    <row r="578" spans="1:11" x14ac:dyDescent="0.35">
      <c r="A578" s="2" t="s">
        <v>541</v>
      </c>
      <c r="B578" s="2" t="s">
        <v>542</v>
      </c>
      <c r="C578" s="2" t="s">
        <v>23</v>
      </c>
      <c r="D578" s="2" t="s">
        <v>460</v>
      </c>
      <c r="E578" s="2" t="s">
        <v>15</v>
      </c>
      <c r="F578" s="2">
        <v>36</v>
      </c>
      <c r="G578" s="2">
        <v>45</v>
      </c>
      <c r="H578" s="2">
        <v>38</v>
      </c>
      <c r="I578" s="2">
        <v>48</v>
      </c>
      <c r="J578" s="2">
        <v>31</v>
      </c>
      <c r="K578" s="2">
        <v>49</v>
      </c>
    </row>
    <row r="579" spans="1:11" x14ac:dyDescent="0.35">
      <c r="A579" s="2" t="s">
        <v>541</v>
      </c>
      <c r="B579" s="2" t="s">
        <v>542</v>
      </c>
      <c r="C579" s="2" t="s">
        <v>23</v>
      </c>
      <c r="D579" s="2" t="s">
        <v>460</v>
      </c>
      <c r="E579" s="2" t="s">
        <v>17</v>
      </c>
      <c r="F579" s="2" t="s">
        <v>543</v>
      </c>
      <c r="G579" s="2">
        <v>47</v>
      </c>
      <c r="H579" s="2">
        <v>41</v>
      </c>
      <c r="I579" s="2">
        <v>40</v>
      </c>
      <c r="J579" s="2">
        <v>46</v>
      </c>
      <c r="K579" s="2">
        <v>40</v>
      </c>
    </row>
    <row r="580" spans="1:11" x14ac:dyDescent="0.35">
      <c r="A580" s="2" t="s">
        <v>541</v>
      </c>
      <c r="B580" s="2" t="s">
        <v>542</v>
      </c>
      <c r="C580" s="2" t="s">
        <v>33</v>
      </c>
      <c r="D580" s="2" t="s">
        <v>460</v>
      </c>
      <c r="E580" s="2" t="s">
        <v>20</v>
      </c>
      <c r="F580" s="2">
        <v>37</v>
      </c>
      <c r="G580" s="2">
        <v>41</v>
      </c>
      <c r="H580" s="2">
        <v>44</v>
      </c>
      <c r="I580" s="2">
        <v>55</v>
      </c>
      <c r="J580" s="2">
        <v>52</v>
      </c>
      <c r="K580" s="2">
        <v>43</v>
      </c>
    </row>
    <row r="581" spans="1:11" x14ac:dyDescent="0.35">
      <c r="A581" s="2" t="s">
        <v>544</v>
      </c>
      <c r="B581" s="2" t="s">
        <v>545</v>
      </c>
      <c r="C581" s="2" t="s">
        <v>23</v>
      </c>
      <c r="D581" s="2" t="s">
        <v>460</v>
      </c>
      <c r="E581" s="2" t="s">
        <v>15</v>
      </c>
      <c r="F581" s="2">
        <v>55</v>
      </c>
      <c r="G581" s="2">
        <v>61</v>
      </c>
      <c r="H581" s="2">
        <v>59</v>
      </c>
      <c r="I581" s="2">
        <v>63</v>
      </c>
      <c r="J581" s="2">
        <v>85</v>
      </c>
      <c r="K581" s="2">
        <v>83</v>
      </c>
    </row>
    <row r="582" spans="1:11" x14ac:dyDescent="0.35">
      <c r="A582" s="2" t="s">
        <v>544</v>
      </c>
      <c r="B582" s="2" t="s">
        <v>546</v>
      </c>
      <c r="C582" s="2" t="s">
        <v>23</v>
      </c>
      <c r="D582" s="2" t="s">
        <v>460</v>
      </c>
      <c r="E582" s="2" t="s">
        <v>17</v>
      </c>
      <c r="F582" s="2">
        <v>59</v>
      </c>
      <c r="G582" s="2">
        <v>69</v>
      </c>
      <c r="H582" s="2">
        <v>84</v>
      </c>
      <c r="I582" s="2">
        <v>59</v>
      </c>
      <c r="J582" s="2">
        <v>76</v>
      </c>
      <c r="K582" s="2">
        <v>89</v>
      </c>
    </row>
    <row r="583" spans="1:11" x14ac:dyDescent="0.35">
      <c r="A583" s="2" t="s">
        <v>544</v>
      </c>
      <c r="B583" s="2" t="s">
        <v>545</v>
      </c>
      <c r="C583" s="2" t="s">
        <v>25</v>
      </c>
      <c r="D583" s="2" t="s">
        <v>460</v>
      </c>
      <c r="E583" s="2" t="s">
        <v>20</v>
      </c>
      <c r="F583" s="2">
        <v>65</v>
      </c>
      <c r="G583" s="2">
        <v>66</v>
      </c>
      <c r="H583" s="2">
        <v>77</v>
      </c>
      <c r="I583" s="2">
        <v>89</v>
      </c>
      <c r="J583" s="2">
        <v>73</v>
      </c>
      <c r="K583" s="2">
        <v>84</v>
      </c>
    </row>
    <row r="584" spans="1:11" x14ac:dyDescent="0.35">
      <c r="A584" s="2" t="s">
        <v>547</v>
      </c>
      <c r="B584" s="2" t="s">
        <v>548</v>
      </c>
      <c r="C584" s="2" t="s">
        <v>30</v>
      </c>
      <c r="D584" s="2" t="s">
        <v>460</v>
      </c>
      <c r="E584" s="2" t="s">
        <v>15</v>
      </c>
      <c r="F584" s="2">
        <v>46</v>
      </c>
      <c r="G584" s="2">
        <v>60</v>
      </c>
      <c r="H584" s="2" t="s">
        <v>549</v>
      </c>
      <c r="I584" s="2">
        <v>58</v>
      </c>
      <c r="J584" s="2">
        <v>59</v>
      </c>
      <c r="K584" s="2">
        <v>69</v>
      </c>
    </row>
    <row r="585" spans="1:11" x14ac:dyDescent="0.35">
      <c r="A585" s="2" t="s">
        <v>547</v>
      </c>
      <c r="B585" s="2" t="s">
        <v>548</v>
      </c>
      <c r="C585" s="2" t="s">
        <v>23</v>
      </c>
      <c r="D585" s="2" t="s">
        <v>460</v>
      </c>
      <c r="E585" s="2" t="s">
        <v>17</v>
      </c>
      <c r="F585" s="2">
        <v>60</v>
      </c>
      <c r="G585" s="2">
        <v>53</v>
      </c>
      <c r="H585" s="2">
        <v>54</v>
      </c>
      <c r="I585" s="2">
        <v>66</v>
      </c>
      <c r="J585" s="2">
        <v>53</v>
      </c>
      <c r="K585" s="2">
        <v>59</v>
      </c>
    </row>
    <row r="586" spans="1:11" x14ac:dyDescent="0.35">
      <c r="A586" s="2" t="s">
        <v>547</v>
      </c>
      <c r="B586" s="2" t="s">
        <v>548</v>
      </c>
      <c r="C586" s="2" t="s">
        <v>23</v>
      </c>
      <c r="D586" s="2" t="s">
        <v>460</v>
      </c>
      <c r="E586" s="2" t="s">
        <v>20</v>
      </c>
      <c r="F586" s="2">
        <v>58</v>
      </c>
      <c r="G586" s="2">
        <v>67</v>
      </c>
      <c r="H586" s="2">
        <v>61</v>
      </c>
      <c r="I586" s="2">
        <v>64</v>
      </c>
      <c r="J586" s="2">
        <v>77</v>
      </c>
      <c r="K586" s="2">
        <v>69</v>
      </c>
    </row>
    <row r="587" spans="1:11" x14ac:dyDescent="0.35">
      <c r="A587" s="2" t="s">
        <v>550</v>
      </c>
      <c r="B587" s="2" t="s">
        <v>551</v>
      </c>
      <c r="C587" s="2" t="s">
        <v>18</v>
      </c>
      <c r="D587" s="2" t="s">
        <v>460</v>
      </c>
      <c r="E587" s="2" t="s">
        <v>15</v>
      </c>
      <c r="F587" s="2">
        <v>39</v>
      </c>
      <c r="G587" s="2">
        <v>34</v>
      </c>
      <c r="H587" s="2">
        <v>50</v>
      </c>
      <c r="I587" s="2">
        <v>49</v>
      </c>
      <c r="J587" s="2">
        <v>50</v>
      </c>
      <c r="K587" s="2">
        <v>54</v>
      </c>
    </row>
    <row r="588" spans="1:11" x14ac:dyDescent="0.35">
      <c r="A588" s="2" t="s">
        <v>550</v>
      </c>
      <c r="B588" s="2" t="s">
        <v>551</v>
      </c>
      <c r="C588" s="2" t="s">
        <v>13</v>
      </c>
      <c r="D588" s="2" t="s">
        <v>460</v>
      </c>
      <c r="E588" s="2" t="s">
        <v>17</v>
      </c>
      <c r="F588" s="2">
        <v>37</v>
      </c>
      <c r="G588" s="2">
        <v>52</v>
      </c>
      <c r="H588" s="2">
        <v>46</v>
      </c>
      <c r="I588" s="2">
        <v>70</v>
      </c>
      <c r="J588" s="2">
        <v>48</v>
      </c>
      <c r="K588" s="2">
        <v>57</v>
      </c>
    </row>
    <row r="589" spans="1:11" x14ac:dyDescent="0.35">
      <c r="A589" s="2" t="s">
        <v>550</v>
      </c>
      <c r="B589" s="2" t="s">
        <v>551</v>
      </c>
      <c r="C589" s="2" t="s">
        <v>37</v>
      </c>
      <c r="D589" s="2" t="s">
        <v>460</v>
      </c>
      <c r="E589" s="2" t="s">
        <v>20</v>
      </c>
      <c r="F589" s="2">
        <v>39</v>
      </c>
      <c r="G589" s="2">
        <v>54</v>
      </c>
      <c r="H589" s="2">
        <v>41</v>
      </c>
      <c r="I589" s="2">
        <v>53</v>
      </c>
      <c r="J589" s="2">
        <v>54</v>
      </c>
      <c r="K589" s="2">
        <v>58</v>
      </c>
    </row>
    <row r="590" spans="1:11" x14ac:dyDescent="0.35">
      <c r="A590" s="2" t="s">
        <v>552</v>
      </c>
      <c r="B590" s="2" t="s">
        <v>553</v>
      </c>
      <c r="C590" s="2" t="s">
        <v>18</v>
      </c>
      <c r="D590" s="2" t="s">
        <v>460</v>
      </c>
      <c r="E590" s="2" t="s">
        <v>15</v>
      </c>
      <c r="F590" s="2">
        <v>24</v>
      </c>
      <c r="G590" s="2">
        <v>47</v>
      </c>
      <c r="H590" s="2">
        <v>42</v>
      </c>
      <c r="I590" s="2">
        <v>54</v>
      </c>
      <c r="J590" s="2">
        <v>41</v>
      </c>
      <c r="K590" s="2">
        <v>48</v>
      </c>
    </row>
    <row r="591" spans="1:11" x14ac:dyDescent="0.35">
      <c r="A591" s="2" t="s">
        <v>552</v>
      </c>
      <c r="B591" s="2" t="s">
        <v>554</v>
      </c>
      <c r="C591" s="2" t="s">
        <v>18</v>
      </c>
      <c r="D591" s="2" t="s">
        <v>460</v>
      </c>
      <c r="E591" s="2" t="s">
        <v>17</v>
      </c>
      <c r="F591" s="2">
        <v>38</v>
      </c>
      <c r="G591" s="2">
        <v>45</v>
      </c>
      <c r="H591" s="2">
        <v>53</v>
      </c>
      <c r="I591" s="2">
        <v>58</v>
      </c>
      <c r="J591" s="2">
        <v>54</v>
      </c>
      <c r="K591" s="2">
        <v>58</v>
      </c>
    </row>
    <row r="592" spans="1:11" x14ac:dyDescent="0.35">
      <c r="A592" s="2" t="s">
        <v>552</v>
      </c>
      <c r="B592" s="2" t="s">
        <v>553</v>
      </c>
      <c r="C592" s="2" t="s">
        <v>18</v>
      </c>
      <c r="D592" s="2" t="s">
        <v>473</v>
      </c>
      <c r="E592" s="2" t="s">
        <v>20</v>
      </c>
      <c r="F592" s="2">
        <v>55</v>
      </c>
      <c r="G592" s="2">
        <v>65</v>
      </c>
      <c r="H592" s="2">
        <v>61</v>
      </c>
      <c r="I592" s="2">
        <v>75</v>
      </c>
      <c r="J592" s="2">
        <v>63</v>
      </c>
      <c r="K592" s="2">
        <v>76</v>
      </c>
    </row>
    <row r="593" spans="1:11" x14ac:dyDescent="0.35">
      <c r="A593" s="2" t="s">
        <v>555</v>
      </c>
      <c r="B593" s="2" t="s">
        <v>556</v>
      </c>
      <c r="C593" s="2" t="s">
        <v>23</v>
      </c>
      <c r="D593" s="2" t="s">
        <v>484</v>
      </c>
      <c r="E593" s="2" t="s">
        <v>15</v>
      </c>
      <c r="F593" s="2">
        <v>46</v>
      </c>
      <c r="G593" s="2">
        <v>58</v>
      </c>
      <c r="H593" s="2">
        <v>54</v>
      </c>
      <c r="I593" s="2">
        <v>63</v>
      </c>
      <c r="J593" s="2">
        <v>59</v>
      </c>
      <c r="K593" s="2">
        <v>73</v>
      </c>
    </row>
    <row r="594" spans="1:11" x14ac:dyDescent="0.35">
      <c r="A594" s="2" t="s">
        <v>555</v>
      </c>
      <c r="B594" s="2" t="s">
        <v>556</v>
      </c>
      <c r="C594" s="2" t="s">
        <v>23</v>
      </c>
      <c r="D594" s="2" t="s">
        <v>460</v>
      </c>
      <c r="E594" s="2" t="s">
        <v>17</v>
      </c>
      <c r="F594" s="2">
        <v>38</v>
      </c>
      <c r="G594" s="2">
        <v>64</v>
      </c>
      <c r="H594" s="2">
        <v>61</v>
      </c>
      <c r="I594" s="2">
        <v>66</v>
      </c>
      <c r="J594" s="2">
        <v>74</v>
      </c>
      <c r="K594" s="2">
        <v>73</v>
      </c>
    </row>
    <row r="595" spans="1:11" x14ac:dyDescent="0.35">
      <c r="A595" s="2" t="s">
        <v>555</v>
      </c>
      <c r="B595" s="2" t="s">
        <v>557</v>
      </c>
      <c r="C595" s="2" t="s">
        <v>23</v>
      </c>
      <c r="D595" s="2" t="s">
        <v>460</v>
      </c>
      <c r="E595" s="2" t="s">
        <v>20</v>
      </c>
      <c r="F595" s="2">
        <v>46</v>
      </c>
      <c r="G595" s="2">
        <v>70</v>
      </c>
      <c r="H595" s="2">
        <v>57</v>
      </c>
      <c r="I595" s="2">
        <v>66</v>
      </c>
      <c r="J595" s="2">
        <v>69</v>
      </c>
      <c r="K595" s="2">
        <v>62</v>
      </c>
    </row>
    <row r="596" spans="1:11" x14ac:dyDescent="0.35">
      <c r="A596" s="2" t="s">
        <v>558</v>
      </c>
      <c r="B596" s="2" t="s">
        <v>559</v>
      </c>
      <c r="C596" s="2" t="s">
        <v>23</v>
      </c>
      <c r="D596" s="2" t="s">
        <v>460</v>
      </c>
      <c r="E596" s="2" t="s">
        <v>15</v>
      </c>
      <c r="F596" s="2">
        <v>32</v>
      </c>
      <c r="G596" s="2">
        <v>49</v>
      </c>
      <c r="H596" s="2">
        <v>47</v>
      </c>
      <c r="I596" s="2">
        <v>47</v>
      </c>
      <c r="J596" s="2">
        <v>45</v>
      </c>
      <c r="K596" s="2">
        <v>54</v>
      </c>
    </row>
    <row r="597" spans="1:11" x14ac:dyDescent="0.35">
      <c r="A597" s="2" t="s">
        <v>558</v>
      </c>
      <c r="B597" s="2" t="s">
        <v>559</v>
      </c>
      <c r="C597" s="2" t="s">
        <v>23</v>
      </c>
      <c r="D597" s="2" t="s">
        <v>460</v>
      </c>
      <c r="E597" s="2" t="s">
        <v>17</v>
      </c>
      <c r="F597" s="2">
        <v>44</v>
      </c>
      <c r="G597" s="2">
        <v>52</v>
      </c>
      <c r="H597" s="2">
        <v>63</v>
      </c>
      <c r="I597" s="2">
        <v>60</v>
      </c>
      <c r="J597" s="2">
        <v>66</v>
      </c>
      <c r="K597" s="2">
        <v>54</v>
      </c>
    </row>
    <row r="598" spans="1:11" x14ac:dyDescent="0.35">
      <c r="A598" s="2" t="s">
        <v>558</v>
      </c>
      <c r="B598" s="2" t="s">
        <v>560</v>
      </c>
      <c r="C598" s="2" t="s">
        <v>23</v>
      </c>
      <c r="D598" s="2" t="s">
        <v>460</v>
      </c>
      <c r="E598" s="2" t="s">
        <v>20</v>
      </c>
      <c r="F598" s="2">
        <v>63</v>
      </c>
      <c r="G598" s="2">
        <v>57</v>
      </c>
      <c r="H598" s="2">
        <v>56</v>
      </c>
      <c r="I598" s="2">
        <v>61</v>
      </c>
      <c r="J598" s="2">
        <v>64</v>
      </c>
      <c r="K598" s="2">
        <v>52</v>
      </c>
    </row>
    <row r="599" spans="1:11" x14ac:dyDescent="0.35">
      <c r="A599" s="2" t="s">
        <v>561</v>
      </c>
      <c r="B599" s="2" t="s">
        <v>562</v>
      </c>
      <c r="C599" s="2" t="s">
        <v>23</v>
      </c>
      <c r="D599" s="2" t="s">
        <v>460</v>
      </c>
      <c r="E599" s="2" t="s">
        <v>15</v>
      </c>
      <c r="F599" s="2">
        <v>32</v>
      </c>
      <c r="G599" s="2">
        <v>42</v>
      </c>
      <c r="H599" s="2">
        <v>46</v>
      </c>
      <c r="I599" s="2">
        <v>44</v>
      </c>
      <c r="J599" s="2">
        <v>37</v>
      </c>
      <c r="K599" s="2">
        <v>34</v>
      </c>
    </row>
    <row r="600" spans="1:11" x14ac:dyDescent="0.35">
      <c r="A600" s="2" t="s">
        <v>561</v>
      </c>
      <c r="B600" s="2" t="s">
        <v>563</v>
      </c>
      <c r="C600" s="2" t="s">
        <v>23</v>
      </c>
      <c r="D600" s="2" t="s">
        <v>460</v>
      </c>
      <c r="E600" s="2" t="s">
        <v>17</v>
      </c>
      <c r="F600" s="2">
        <v>39</v>
      </c>
      <c r="G600" s="2">
        <v>30</v>
      </c>
      <c r="H600" s="2">
        <v>40</v>
      </c>
      <c r="I600" s="2">
        <v>49</v>
      </c>
      <c r="J600" s="2">
        <v>47</v>
      </c>
      <c r="K600" s="2">
        <v>47</v>
      </c>
    </row>
    <row r="601" spans="1:11" x14ac:dyDescent="0.35">
      <c r="A601" s="2" t="s">
        <v>561</v>
      </c>
      <c r="B601" s="2" t="s">
        <v>562</v>
      </c>
      <c r="C601" s="2" t="s">
        <v>23</v>
      </c>
      <c r="D601" s="2" t="s">
        <v>460</v>
      </c>
      <c r="E601" s="2" t="s">
        <v>20</v>
      </c>
      <c r="F601" s="2">
        <v>29</v>
      </c>
      <c r="G601" s="2">
        <v>48</v>
      </c>
      <c r="H601" s="2">
        <v>53</v>
      </c>
      <c r="I601" s="2">
        <v>49</v>
      </c>
      <c r="J601" s="2">
        <v>49</v>
      </c>
      <c r="K601" s="2">
        <v>57</v>
      </c>
    </row>
    <row r="602" spans="1:11" x14ac:dyDescent="0.35">
      <c r="A602" s="2" t="s">
        <v>293</v>
      </c>
      <c r="B602" s="2" t="s">
        <v>294</v>
      </c>
      <c r="C602" s="2" t="s">
        <v>18</v>
      </c>
      <c r="D602" s="2" t="s">
        <v>247</v>
      </c>
      <c r="E602" s="2" t="s">
        <v>20</v>
      </c>
      <c r="F602" s="2">
        <v>59</v>
      </c>
      <c r="G602" s="2">
        <v>62</v>
      </c>
      <c r="H602" s="2">
        <v>82</v>
      </c>
      <c r="I602" s="2">
        <v>84</v>
      </c>
      <c r="J602" s="2">
        <v>80</v>
      </c>
      <c r="K602" s="2">
        <v>75</v>
      </c>
    </row>
    <row r="603" spans="1:11" x14ac:dyDescent="0.35">
      <c r="A603" s="2" t="s">
        <v>564</v>
      </c>
      <c r="B603" s="2" t="s">
        <v>565</v>
      </c>
      <c r="C603" s="2" t="s">
        <v>18</v>
      </c>
      <c r="D603" s="2" t="s">
        <v>460</v>
      </c>
      <c r="E603" s="2" t="s">
        <v>15</v>
      </c>
      <c r="F603" s="2">
        <v>58</v>
      </c>
      <c r="G603" s="2">
        <v>66</v>
      </c>
      <c r="H603" s="2">
        <v>51</v>
      </c>
      <c r="I603" s="2">
        <v>59</v>
      </c>
      <c r="J603" s="2">
        <v>66</v>
      </c>
      <c r="K603" s="2">
        <v>73</v>
      </c>
    </row>
    <row r="604" spans="1:11" x14ac:dyDescent="0.35">
      <c r="A604" s="2" t="s">
        <v>564</v>
      </c>
      <c r="B604" s="2" t="s">
        <v>565</v>
      </c>
      <c r="C604" s="2" t="s">
        <v>37</v>
      </c>
      <c r="D604" s="2" t="s">
        <v>460</v>
      </c>
      <c r="E604" s="2" t="s">
        <v>17</v>
      </c>
      <c r="F604" s="2">
        <v>73</v>
      </c>
      <c r="G604" s="2">
        <v>65</v>
      </c>
      <c r="H604" s="2">
        <v>73</v>
      </c>
      <c r="I604" s="2">
        <v>81</v>
      </c>
      <c r="J604" s="2">
        <v>75</v>
      </c>
      <c r="K604" s="2">
        <v>73</v>
      </c>
    </row>
    <row r="605" spans="1:11" x14ac:dyDescent="0.35">
      <c r="A605" s="2" t="s">
        <v>564</v>
      </c>
      <c r="B605" s="2" t="s">
        <v>565</v>
      </c>
      <c r="C605" s="2" t="s">
        <v>16</v>
      </c>
      <c r="D605" s="2" t="s">
        <v>460</v>
      </c>
      <c r="E605" s="2" t="s">
        <v>20</v>
      </c>
      <c r="F605" s="2">
        <v>66</v>
      </c>
      <c r="G605" s="2">
        <v>86</v>
      </c>
      <c r="H605" s="2">
        <v>76</v>
      </c>
      <c r="I605" s="2">
        <v>92</v>
      </c>
      <c r="J605" s="2">
        <v>95</v>
      </c>
      <c r="K605" s="2">
        <v>75</v>
      </c>
    </row>
    <row r="606" spans="1:11" x14ac:dyDescent="0.35">
      <c r="A606" s="2" t="s">
        <v>566</v>
      </c>
      <c r="B606" s="2" t="s">
        <v>567</v>
      </c>
      <c r="C606" s="2" t="s">
        <v>23</v>
      </c>
      <c r="D606" s="2" t="s">
        <v>568</v>
      </c>
      <c r="E606" s="2" t="s">
        <v>15</v>
      </c>
      <c r="F606" s="2">
        <v>35</v>
      </c>
      <c r="G606" s="2">
        <v>44</v>
      </c>
      <c r="H606" s="2">
        <v>35</v>
      </c>
      <c r="I606" s="2">
        <v>42</v>
      </c>
      <c r="J606" s="2">
        <v>59</v>
      </c>
      <c r="K606" s="2">
        <v>46</v>
      </c>
    </row>
    <row r="607" spans="1:11" x14ac:dyDescent="0.35">
      <c r="A607" s="2" t="s">
        <v>566</v>
      </c>
      <c r="B607" s="2" t="s">
        <v>569</v>
      </c>
      <c r="C607" s="2" t="s">
        <v>33</v>
      </c>
      <c r="D607" s="2" t="s">
        <v>568</v>
      </c>
      <c r="E607" s="2" t="s">
        <v>17</v>
      </c>
      <c r="F607" s="2">
        <v>42</v>
      </c>
      <c r="G607" s="2">
        <v>33</v>
      </c>
      <c r="H607" s="2">
        <v>40</v>
      </c>
      <c r="I607" s="2">
        <v>44</v>
      </c>
      <c r="J607" s="2">
        <v>45</v>
      </c>
      <c r="K607" s="2">
        <v>52</v>
      </c>
    </row>
    <row r="608" spans="1:11" x14ac:dyDescent="0.35">
      <c r="A608" s="2" t="s">
        <v>566</v>
      </c>
      <c r="B608" s="2" t="s">
        <v>567</v>
      </c>
      <c r="C608" s="2" t="s">
        <v>30</v>
      </c>
      <c r="D608" s="2" t="s">
        <v>568</v>
      </c>
      <c r="E608" s="2" t="s">
        <v>20</v>
      </c>
      <c r="F608" s="2">
        <v>42</v>
      </c>
      <c r="G608" s="2">
        <v>39</v>
      </c>
      <c r="H608" s="2">
        <v>43</v>
      </c>
      <c r="I608" s="2">
        <v>57</v>
      </c>
      <c r="J608" s="2">
        <v>45</v>
      </c>
      <c r="K608" s="2">
        <v>69</v>
      </c>
    </row>
    <row r="609" spans="1:11" x14ac:dyDescent="0.35">
      <c r="A609" s="2" t="s">
        <v>570</v>
      </c>
      <c r="B609" s="2" t="s">
        <v>571</v>
      </c>
      <c r="C609" s="2" t="s">
        <v>16</v>
      </c>
      <c r="D609" s="2" t="s">
        <v>572</v>
      </c>
      <c r="E609" s="2" t="s">
        <v>15</v>
      </c>
      <c r="F609" s="2">
        <v>68</v>
      </c>
      <c r="G609" s="2">
        <v>61</v>
      </c>
      <c r="H609" s="2">
        <v>47</v>
      </c>
      <c r="I609" s="2">
        <v>52</v>
      </c>
      <c r="J609" s="2">
        <v>63</v>
      </c>
      <c r="K609" s="2">
        <v>65</v>
      </c>
    </row>
    <row r="610" spans="1:11" x14ac:dyDescent="0.35">
      <c r="A610" s="2" t="s">
        <v>570</v>
      </c>
      <c r="B610" s="2" t="s">
        <v>571</v>
      </c>
      <c r="C610" s="2" t="s">
        <v>13</v>
      </c>
      <c r="D610" s="2" t="s">
        <v>572</v>
      </c>
      <c r="E610" s="2" t="s">
        <v>17</v>
      </c>
      <c r="F610" s="2">
        <v>58</v>
      </c>
      <c r="G610" s="2">
        <v>83</v>
      </c>
      <c r="H610" s="2">
        <v>76</v>
      </c>
      <c r="I610" s="2">
        <v>80</v>
      </c>
      <c r="J610" s="2">
        <v>70</v>
      </c>
      <c r="K610" s="2">
        <v>83</v>
      </c>
    </row>
    <row r="611" spans="1:11" x14ac:dyDescent="0.35">
      <c r="A611" s="2" t="s">
        <v>570</v>
      </c>
      <c r="B611" s="2" t="s">
        <v>571</v>
      </c>
      <c r="C611" s="2" t="s">
        <v>18</v>
      </c>
      <c r="D611" s="2" t="s">
        <v>568</v>
      </c>
      <c r="E611" s="2" t="s">
        <v>20</v>
      </c>
      <c r="F611" s="2">
        <v>71</v>
      </c>
      <c r="G611" s="2">
        <v>78</v>
      </c>
      <c r="H611" s="2">
        <v>78</v>
      </c>
      <c r="I611" s="2">
        <v>98</v>
      </c>
      <c r="J611" s="2">
        <v>71</v>
      </c>
      <c r="K611" s="2">
        <v>82</v>
      </c>
    </row>
    <row r="612" spans="1:11" x14ac:dyDescent="0.35">
      <c r="A612" s="2" t="s">
        <v>573</v>
      </c>
      <c r="B612" s="2" t="s">
        <v>574</v>
      </c>
      <c r="C612" s="2" t="s">
        <v>18</v>
      </c>
      <c r="D612" s="2" t="s">
        <v>568</v>
      </c>
      <c r="E612" s="2" t="s">
        <v>15</v>
      </c>
      <c r="F612" s="2">
        <v>36</v>
      </c>
      <c r="G612" s="2">
        <v>59</v>
      </c>
      <c r="H612" s="2">
        <v>54</v>
      </c>
      <c r="I612" s="2">
        <v>73</v>
      </c>
      <c r="J612" s="2">
        <v>63</v>
      </c>
      <c r="K612" s="2">
        <v>51</v>
      </c>
    </row>
    <row r="613" spans="1:11" x14ac:dyDescent="0.35">
      <c r="A613" s="2" t="s">
        <v>573</v>
      </c>
      <c r="B613" s="2" t="s">
        <v>574</v>
      </c>
      <c r="C613" s="2" t="s">
        <v>18</v>
      </c>
      <c r="D613" s="2" t="s">
        <v>568</v>
      </c>
      <c r="E613" s="2" t="s">
        <v>17</v>
      </c>
      <c r="F613" s="2">
        <v>43</v>
      </c>
      <c r="G613" s="2"/>
      <c r="H613" s="2">
        <v>39</v>
      </c>
      <c r="I613" s="2">
        <v>67</v>
      </c>
      <c r="J613" s="2">
        <v>55</v>
      </c>
      <c r="K613" s="2">
        <v>62</v>
      </c>
    </row>
    <row r="614" spans="1:11" x14ac:dyDescent="0.35">
      <c r="A614" s="2" t="s">
        <v>573</v>
      </c>
      <c r="B614" s="2" t="s">
        <v>574</v>
      </c>
      <c r="C614" s="2" t="s">
        <v>18</v>
      </c>
      <c r="D614" s="2" t="s">
        <v>568</v>
      </c>
      <c r="E614" s="2" t="s">
        <v>20</v>
      </c>
      <c r="F614" s="2">
        <v>54</v>
      </c>
      <c r="G614" s="2">
        <v>51</v>
      </c>
      <c r="H614" s="2">
        <v>52</v>
      </c>
      <c r="I614" s="2">
        <v>62</v>
      </c>
      <c r="J614" s="2">
        <v>76</v>
      </c>
      <c r="K614" s="2">
        <v>70</v>
      </c>
    </row>
    <row r="615" spans="1:11" x14ac:dyDescent="0.35">
      <c r="A615" s="2" t="s">
        <v>575</v>
      </c>
      <c r="B615" s="2" t="s">
        <v>576</v>
      </c>
      <c r="C615" s="2" t="s">
        <v>23</v>
      </c>
      <c r="D615" s="2" t="s">
        <v>577</v>
      </c>
      <c r="E615" s="2" t="s">
        <v>15</v>
      </c>
      <c r="F615" s="2">
        <v>23</v>
      </c>
      <c r="G615" s="2">
        <v>34</v>
      </c>
      <c r="H615" s="2">
        <v>27</v>
      </c>
      <c r="I615" s="2">
        <v>38</v>
      </c>
      <c r="J615" s="2">
        <v>31</v>
      </c>
      <c r="K615" s="2">
        <v>38</v>
      </c>
    </row>
    <row r="616" spans="1:11" x14ac:dyDescent="0.35">
      <c r="A616" s="2" t="s">
        <v>575</v>
      </c>
      <c r="B616" s="2" t="s">
        <v>578</v>
      </c>
      <c r="C616" s="2" t="s">
        <v>23</v>
      </c>
      <c r="D616" s="2" t="s">
        <v>568</v>
      </c>
      <c r="E616" s="2" t="s">
        <v>17</v>
      </c>
      <c r="F616" s="2">
        <v>40</v>
      </c>
      <c r="G616" s="2">
        <v>25</v>
      </c>
      <c r="H616" s="2">
        <v>37</v>
      </c>
      <c r="I616" s="2">
        <v>34</v>
      </c>
      <c r="J616" s="2">
        <v>42</v>
      </c>
      <c r="K616" s="2">
        <v>38</v>
      </c>
    </row>
    <row r="617" spans="1:11" x14ac:dyDescent="0.35">
      <c r="A617" s="2" t="s">
        <v>575</v>
      </c>
      <c r="B617" s="2" t="s">
        <v>578</v>
      </c>
      <c r="C617" s="2" t="s">
        <v>23</v>
      </c>
      <c r="D617" s="2" t="s">
        <v>568</v>
      </c>
      <c r="E617" s="2" t="s">
        <v>20</v>
      </c>
      <c r="F617" s="2">
        <v>26</v>
      </c>
      <c r="G617" s="2" t="s">
        <v>579</v>
      </c>
      <c r="H617" s="2">
        <v>40</v>
      </c>
      <c r="I617" s="2" t="s">
        <v>580</v>
      </c>
      <c r="J617" s="2">
        <v>38</v>
      </c>
      <c r="K617" s="2">
        <v>49</v>
      </c>
    </row>
    <row r="618" spans="1:11" x14ac:dyDescent="0.35">
      <c r="A618" s="2" t="s">
        <v>581</v>
      </c>
      <c r="B618" s="2" t="s">
        <v>582</v>
      </c>
      <c r="C618" s="2" t="s">
        <v>18</v>
      </c>
      <c r="D618" s="2" t="s">
        <v>568</v>
      </c>
      <c r="E618" s="2" t="s">
        <v>15</v>
      </c>
      <c r="F618" s="2">
        <v>68</v>
      </c>
      <c r="G618" s="2">
        <v>73</v>
      </c>
      <c r="H618" s="2">
        <v>72</v>
      </c>
      <c r="I618" s="2" t="s">
        <v>583</v>
      </c>
      <c r="J618" s="2">
        <v>81</v>
      </c>
      <c r="K618" s="2">
        <v>63</v>
      </c>
    </row>
    <row r="619" spans="1:11" x14ac:dyDescent="0.35">
      <c r="A619" s="2" t="s">
        <v>581</v>
      </c>
      <c r="B619" s="2" t="s">
        <v>582</v>
      </c>
      <c r="C619" s="2" t="s">
        <v>37</v>
      </c>
      <c r="D619" s="2" t="s">
        <v>568</v>
      </c>
      <c r="E619" s="2" t="s">
        <v>17</v>
      </c>
      <c r="F619" s="2"/>
      <c r="G619" s="2">
        <v>76</v>
      </c>
      <c r="H619" s="2">
        <v>55</v>
      </c>
      <c r="I619" s="2">
        <v>75</v>
      </c>
      <c r="J619" s="2">
        <v>83</v>
      </c>
      <c r="K619" s="2">
        <v>79</v>
      </c>
    </row>
    <row r="620" spans="1:11" x14ac:dyDescent="0.35">
      <c r="A620" s="2" t="s">
        <v>581</v>
      </c>
      <c r="B620" s="2" t="s">
        <v>582</v>
      </c>
      <c r="C620" s="2" t="s">
        <v>18</v>
      </c>
      <c r="D620" s="2" t="s">
        <v>568</v>
      </c>
      <c r="E620" s="2" t="s">
        <v>20</v>
      </c>
      <c r="F620" s="2">
        <v>77</v>
      </c>
      <c r="G620" s="2">
        <v>74</v>
      </c>
      <c r="H620" s="2">
        <v>64</v>
      </c>
      <c r="I620" s="2">
        <v>81</v>
      </c>
      <c r="J620" s="2">
        <v>73</v>
      </c>
      <c r="K620" s="2">
        <v>81</v>
      </c>
    </row>
    <row r="621" spans="1:11" x14ac:dyDescent="0.35">
      <c r="A621" s="2" t="s">
        <v>584</v>
      </c>
      <c r="B621" s="2" t="s">
        <v>585</v>
      </c>
      <c r="C621" s="2" t="s">
        <v>18</v>
      </c>
      <c r="D621" s="2" t="s">
        <v>568</v>
      </c>
      <c r="E621" s="2" t="s">
        <v>15</v>
      </c>
      <c r="F621" s="2">
        <v>45</v>
      </c>
      <c r="G621" s="2">
        <v>58</v>
      </c>
      <c r="H621" s="2">
        <v>49</v>
      </c>
      <c r="I621" s="2">
        <v>57</v>
      </c>
      <c r="J621" s="2">
        <v>77</v>
      </c>
      <c r="K621" s="2">
        <v>63</v>
      </c>
    </row>
    <row r="622" spans="1:11" x14ac:dyDescent="0.35">
      <c r="A622" s="2" t="s">
        <v>584</v>
      </c>
      <c r="B622" s="2" t="s">
        <v>585</v>
      </c>
      <c r="C622" s="2" t="s">
        <v>18</v>
      </c>
      <c r="D622" s="2" t="s">
        <v>568</v>
      </c>
      <c r="E622" s="2" t="s">
        <v>17</v>
      </c>
      <c r="F622" s="2">
        <v>58</v>
      </c>
      <c r="G622" s="2">
        <v>75</v>
      </c>
      <c r="H622" s="2">
        <v>67</v>
      </c>
      <c r="I622" s="2">
        <v>79</v>
      </c>
      <c r="J622" s="2">
        <v>73</v>
      </c>
      <c r="K622" s="2">
        <v>75</v>
      </c>
    </row>
    <row r="623" spans="1:11" x14ac:dyDescent="0.35">
      <c r="A623" s="2" t="s">
        <v>584</v>
      </c>
      <c r="B623" s="2" t="s">
        <v>585</v>
      </c>
      <c r="C623" s="2" t="s">
        <v>18</v>
      </c>
      <c r="D623" s="2" t="s">
        <v>577</v>
      </c>
      <c r="E623" s="2" t="s">
        <v>20</v>
      </c>
      <c r="F623" s="2">
        <v>67</v>
      </c>
      <c r="G623" s="2">
        <v>85</v>
      </c>
      <c r="H623" s="2">
        <v>75</v>
      </c>
      <c r="I623" s="2">
        <v>78</v>
      </c>
      <c r="J623" s="2">
        <v>94</v>
      </c>
      <c r="K623" s="2">
        <v>66</v>
      </c>
    </row>
    <row r="624" spans="1:11" x14ac:dyDescent="0.35">
      <c r="A624" s="2" t="s">
        <v>586</v>
      </c>
      <c r="B624" s="2" t="s">
        <v>587</v>
      </c>
      <c r="C624" s="2" t="s">
        <v>18</v>
      </c>
      <c r="D624" s="2" t="s">
        <v>568</v>
      </c>
      <c r="E624" s="2" t="s">
        <v>15</v>
      </c>
      <c r="F624" s="2">
        <v>71</v>
      </c>
      <c r="G624" s="2">
        <v>87</v>
      </c>
      <c r="H624" s="2">
        <v>73</v>
      </c>
      <c r="I624" s="2">
        <v>79</v>
      </c>
      <c r="J624" s="2">
        <v>89</v>
      </c>
      <c r="K624" s="2">
        <v>88</v>
      </c>
    </row>
    <row r="625" spans="1:11" x14ac:dyDescent="0.35">
      <c r="A625" s="2" t="s">
        <v>586</v>
      </c>
      <c r="B625" s="2" t="s">
        <v>587</v>
      </c>
      <c r="C625" s="2" t="s">
        <v>37</v>
      </c>
      <c r="D625" s="2" t="s">
        <v>568</v>
      </c>
      <c r="E625" s="2" t="s">
        <v>17</v>
      </c>
      <c r="F625" s="2">
        <v>82</v>
      </c>
      <c r="G625" s="2">
        <v>79</v>
      </c>
      <c r="H625" s="2">
        <v>81</v>
      </c>
      <c r="I625" s="2">
        <v>82</v>
      </c>
      <c r="J625" s="2">
        <v>80</v>
      </c>
      <c r="K625" s="2">
        <v>82</v>
      </c>
    </row>
    <row r="626" spans="1:11" x14ac:dyDescent="0.35">
      <c r="A626" s="2" t="s">
        <v>586</v>
      </c>
      <c r="B626" s="2" t="s">
        <v>587</v>
      </c>
      <c r="C626" s="2" t="s">
        <v>18</v>
      </c>
      <c r="D626" s="2" t="s">
        <v>568</v>
      </c>
      <c r="E626" s="2" t="s">
        <v>20</v>
      </c>
      <c r="F626" s="2">
        <v>84</v>
      </c>
      <c r="G626" s="2">
        <v>69</v>
      </c>
      <c r="H626" s="2">
        <v>80</v>
      </c>
      <c r="I626" s="2">
        <v>80</v>
      </c>
      <c r="J626" s="2">
        <v>91</v>
      </c>
      <c r="K626" s="2">
        <v>89</v>
      </c>
    </row>
    <row r="627" spans="1:11" x14ac:dyDescent="0.35">
      <c r="A627" s="2" t="s">
        <v>588</v>
      </c>
      <c r="B627" s="2" t="s">
        <v>589</v>
      </c>
      <c r="C627" s="2" t="s">
        <v>37</v>
      </c>
      <c r="D627" s="2" t="s">
        <v>568</v>
      </c>
      <c r="E627" s="2" t="s">
        <v>15</v>
      </c>
      <c r="F627" s="2">
        <v>29</v>
      </c>
      <c r="G627" s="2">
        <v>34</v>
      </c>
      <c r="H627" s="2">
        <v>16</v>
      </c>
      <c r="I627" s="2">
        <v>38</v>
      </c>
      <c r="J627" s="2">
        <v>32</v>
      </c>
      <c r="K627" s="2">
        <v>37</v>
      </c>
    </row>
    <row r="628" spans="1:11" x14ac:dyDescent="0.35">
      <c r="A628" s="2" t="s">
        <v>588</v>
      </c>
      <c r="B628" s="2" t="s">
        <v>589</v>
      </c>
      <c r="C628" s="2" t="s">
        <v>16</v>
      </c>
      <c r="D628" s="2" t="s">
        <v>568</v>
      </c>
      <c r="E628" s="2" t="s">
        <v>17</v>
      </c>
      <c r="F628" s="2">
        <v>19</v>
      </c>
      <c r="G628" s="2">
        <v>30</v>
      </c>
      <c r="H628" s="2">
        <v>41</v>
      </c>
      <c r="I628" s="2">
        <v>29</v>
      </c>
      <c r="J628" s="2">
        <v>47</v>
      </c>
      <c r="K628" s="2">
        <v>29</v>
      </c>
    </row>
    <row r="629" spans="1:11" x14ac:dyDescent="0.35">
      <c r="A629" s="2" t="s">
        <v>588</v>
      </c>
      <c r="B629" s="2" t="s">
        <v>589</v>
      </c>
      <c r="C629" s="2" t="s">
        <v>18</v>
      </c>
      <c r="D629" s="2" t="s">
        <v>568</v>
      </c>
      <c r="E629" s="2" t="s">
        <v>20</v>
      </c>
      <c r="F629" s="2">
        <v>14</v>
      </c>
      <c r="G629" s="2">
        <v>31</v>
      </c>
      <c r="H629" s="2">
        <v>22</v>
      </c>
      <c r="I629" s="2">
        <v>31</v>
      </c>
      <c r="J629" s="2">
        <v>29</v>
      </c>
      <c r="K629" s="2">
        <v>40</v>
      </c>
    </row>
    <row r="630" spans="1:11" x14ac:dyDescent="0.35">
      <c r="A630" s="2" t="s">
        <v>590</v>
      </c>
      <c r="B630" s="2" t="s">
        <v>591</v>
      </c>
      <c r="C630" s="2" t="s">
        <v>18</v>
      </c>
      <c r="D630" s="2" t="s">
        <v>568</v>
      </c>
      <c r="E630" s="2" t="s">
        <v>15</v>
      </c>
      <c r="F630" s="2">
        <v>35</v>
      </c>
      <c r="G630" s="2">
        <v>44</v>
      </c>
      <c r="H630" s="2">
        <v>52</v>
      </c>
      <c r="I630" s="2">
        <v>73</v>
      </c>
      <c r="J630" s="2">
        <v>50</v>
      </c>
      <c r="K630" s="2">
        <v>61</v>
      </c>
    </row>
    <row r="631" spans="1:11" x14ac:dyDescent="0.35">
      <c r="A631" s="2" t="s">
        <v>590</v>
      </c>
      <c r="B631" s="2" t="s">
        <v>591</v>
      </c>
      <c r="C631" s="2" t="s">
        <v>18</v>
      </c>
      <c r="D631" s="2" t="s">
        <v>577</v>
      </c>
      <c r="E631" s="2" t="s">
        <v>17</v>
      </c>
      <c r="F631" s="2">
        <v>64</v>
      </c>
      <c r="G631" s="2">
        <v>64</v>
      </c>
      <c r="H631" s="2">
        <v>71</v>
      </c>
      <c r="I631" s="2">
        <v>48</v>
      </c>
      <c r="J631" s="2">
        <v>53</v>
      </c>
      <c r="K631" s="2">
        <v>49</v>
      </c>
    </row>
    <row r="632" spans="1:11" x14ac:dyDescent="0.35">
      <c r="A632" s="2" t="s">
        <v>590</v>
      </c>
      <c r="B632" s="2" t="s">
        <v>591</v>
      </c>
      <c r="C632" s="2" t="s">
        <v>16</v>
      </c>
      <c r="D632" s="2" t="s">
        <v>568</v>
      </c>
      <c r="E632" s="2" t="s">
        <v>20</v>
      </c>
      <c r="F632" s="2">
        <v>53</v>
      </c>
      <c r="G632" s="2">
        <v>64</v>
      </c>
      <c r="H632" s="2">
        <v>55</v>
      </c>
      <c r="I632" s="2">
        <v>68</v>
      </c>
      <c r="J632" s="2">
        <v>69</v>
      </c>
      <c r="K632" s="2">
        <v>64</v>
      </c>
    </row>
    <row r="633" spans="1:11" x14ac:dyDescent="0.35">
      <c r="A633" s="2" t="s">
        <v>592</v>
      </c>
      <c r="B633" s="2" t="s">
        <v>593</v>
      </c>
      <c r="C633" s="2" t="s">
        <v>33</v>
      </c>
      <c r="D633" s="2" t="s">
        <v>568</v>
      </c>
      <c r="E633" s="2" t="s">
        <v>15</v>
      </c>
      <c r="F633" s="2">
        <v>61</v>
      </c>
      <c r="G633" s="2">
        <v>59</v>
      </c>
      <c r="H633" s="2">
        <v>56</v>
      </c>
      <c r="I633" s="2">
        <v>74</v>
      </c>
      <c r="J633" s="2">
        <v>81</v>
      </c>
      <c r="K633" s="2">
        <v>76</v>
      </c>
    </row>
    <row r="634" spans="1:11" x14ac:dyDescent="0.35">
      <c r="A634" s="2" t="s">
        <v>592</v>
      </c>
      <c r="B634" s="2" t="s">
        <v>593</v>
      </c>
      <c r="C634" s="2" t="s">
        <v>23</v>
      </c>
      <c r="D634" s="2" t="s">
        <v>568</v>
      </c>
      <c r="E634" s="2" t="s">
        <v>17</v>
      </c>
      <c r="F634" s="2">
        <v>49</v>
      </c>
      <c r="G634" s="2">
        <v>62</v>
      </c>
      <c r="H634" s="2">
        <v>63</v>
      </c>
      <c r="I634" s="2">
        <v>65</v>
      </c>
      <c r="J634" s="2">
        <v>61</v>
      </c>
      <c r="K634" s="2">
        <v>46</v>
      </c>
    </row>
    <row r="635" spans="1:11" x14ac:dyDescent="0.35">
      <c r="A635" s="2" t="s">
        <v>592</v>
      </c>
      <c r="B635" s="2" t="s">
        <v>593</v>
      </c>
      <c r="C635" s="2" t="s">
        <v>23</v>
      </c>
      <c r="D635" s="2" t="s">
        <v>568</v>
      </c>
      <c r="E635" s="2" t="s">
        <v>20</v>
      </c>
      <c r="F635" s="2">
        <v>52</v>
      </c>
      <c r="G635" s="2">
        <v>53</v>
      </c>
      <c r="H635" s="2">
        <v>52</v>
      </c>
      <c r="I635" s="2">
        <v>52</v>
      </c>
      <c r="J635" s="2">
        <v>42</v>
      </c>
      <c r="K635" s="2">
        <v>58</v>
      </c>
    </row>
    <row r="636" spans="1:11" x14ac:dyDescent="0.35">
      <c r="A636" s="2" t="s">
        <v>594</v>
      </c>
      <c r="B636" s="2" t="s">
        <v>595</v>
      </c>
      <c r="C636" s="2" t="s">
        <v>23</v>
      </c>
      <c r="D636" s="2" t="s">
        <v>577</v>
      </c>
      <c r="E636" s="2" t="s">
        <v>15</v>
      </c>
      <c r="F636" s="2">
        <v>59</v>
      </c>
      <c r="G636" s="2">
        <v>62</v>
      </c>
      <c r="H636" s="2">
        <v>51</v>
      </c>
      <c r="I636" s="2">
        <v>61</v>
      </c>
      <c r="J636" s="2">
        <v>59</v>
      </c>
      <c r="K636" s="2">
        <v>49</v>
      </c>
    </row>
    <row r="637" spans="1:11" x14ac:dyDescent="0.35">
      <c r="A637" s="2" t="s">
        <v>594</v>
      </c>
      <c r="B637" s="2" t="s">
        <v>596</v>
      </c>
      <c r="C637" s="2" t="s">
        <v>23</v>
      </c>
      <c r="D637" s="2" t="s">
        <v>568</v>
      </c>
      <c r="E637" s="2" t="s">
        <v>17</v>
      </c>
      <c r="F637" s="2">
        <v>60</v>
      </c>
      <c r="G637" s="2">
        <v>75</v>
      </c>
      <c r="H637" s="2">
        <v>76</v>
      </c>
      <c r="I637" s="2">
        <v>66</v>
      </c>
      <c r="J637" s="2">
        <v>73</v>
      </c>
      <c r="K637" s="2">
        <v>58</v>
      </c>
    </row>
    <row r="638" spans="1:11" x14ac:dyDescent="0.35">
      <c r="A638" s="2" t="s">
        <v>594</v>
      </c>
      <c r="B638" s="2" t="s">
        <v>596</v>
      </c>
      <c r="C638" s="2" t="s">
        <v>23</v>
      </c>
      <c r="D638" s="2" t="s">
        <v>597</v>
      </c>
      <c r="E638" s="2" t="s">
        <v>20</v>
      </c>
      <c r="F638" s="2">
        <v>58</v>
      </c>
      <c r="G638" s="2">
        <v>75</v>
      </c>
      <c r="H638" s="2">
        <v>74</v>
      </c>
      <c r="I638" s="2">
        <v>65</v>
      </c>
      <c r="J638" s="2">
        <v>70</v>
      </c>
      <c r="K638" s="2">
        <v>73</v>
      </c>
    </row>
    <row r="639" spans="1:11" x14ac:dyDescent="0.35">
      <c r="A639" s="2" t="s">
        <v>598</v>
      </c>
      <c r="B639" s="2" t="s">
        <v>599</v>
      </c>
      <c r="C639" s="2" t="s">
        <v>23</v>
      </c>
      <c r="D639" s="2" t="s">
        <v>568</v>
      </c>
      <c r="E639" s="2" t="s">
        <v>15</v>
      </c>
      <c r="F639" s="2">
        <v>55</v>
      </c>
      <c r="G639" s="2">
        <v>54</v>
      </c>
      <c r="H639" s="2">
        <v>54</v>
      </c>
      <c r="I639" s="2">
        <v>66</v>
      </c>
      <c r="J639" s="2">
        <v>63</v>
      </c>
      <c r="K639" s="2">
        <v>54</v>
      </c>
    </row>
    <row r="640" spans="1:11" x14ac:dyDescent="0.35">
      <c r="A640" s="2" t="s">
        <v>598</v>
      </c>
      <c r="B640" s="2" t="s">
        <v>599</v>
      </c>
      <c r="C640" s="2" t="s">
        <v>33</v>
      </c>
      <c r="D640" s="2" t="s">
        <v>568</v>
      </c>
      <c r="E640" s="2" t="s">
        <v>17</v>
      </c>
      <c r="F640" s="2">
        <v>49</v>
      </c>
      <c r="G640" s="2">
        <v>47</v>
      </c>
      <c r="H640" s="2">
        <v>54</v>
      </c>
      <c r="I640" s="2">
        <v>66</v>
      </c>
      <c r="J640" s="2">
        <v>65</v>
      </c>
      <c r="K640" s="2">
        <v>66</v>
      </c>
    </row>
    <row r="641" spans="1:11" x14ac:dyDescent="0.35">
      <c r="A641" s="2" t="s">
        <v>598</v>
      </c>
      <c r="B641" s="2" t="s">
        <v>600</v>
      </c>
      <c r="C641" s="2" t="s">
        <v>23</v>
      </c>
      <c r="D641" s="2" t="s">
        <v>568</v>
      </c>
      <c r="E641" s="2" t="s">
        <v>20</v>
      </c>
      <c r="F641" s="2">
        <v>52</v>
      </c>
      <c r="G641" s="2">
        <v>61</v>
      </c>
      <c r="H641" s="2">
        <v>54</v>
      </c>
      <c r="I641" s="2">
        <v>63</v>
      </c>
      <c r="J641" s="2">
        <v>59</v>
      </c>
      <c r="K641" s="2">
        <v>64</v>
      </c>
    </row>
    <row r="642" spans="1:11" x14ac:dyDescent="0.35">
      <c r="A642" s="2" t="s">
        <v>601</v>
      </c>
      <c r="B642" s="2" t="s">
        <v>602</v>
      </c>
      <c r="C642" s="2" t="s">
        <v>23</v>
      </c>
      <c r="D642" s="2" t="s">
        <v>568</v>
      </c>
      <c r="E642" s="2" t="s">
        <v>15</v>
      </c>
      <c r="F642" s="2">
        <v>80</v>
      </c>
      <c r="G642" s="2">
        <v>92</v>
      </c>
      <c r="H642" s="2">
        <v>90</v>
      </c>
      <c r="I642" s="2">
        <v>84</v>
      </c>
      <c r="J642" s="2">
        <v>81</v>
      </c>
      <c r="K642" s="2">
        <v>89</v>
      </c>
    </row>
    <row r="643" spans="1:11" x14ac:dyDescent="0.35">
      <c r="A643" s="2" t="s">
        <v>601</v>
      </c>
      <c r="B643" s="2" t="s">
        <v>603</v>
      </c>
      <c r="C643" s="2" t="s">
        <v>23</v>
      </c>
      <c r="D643" s="2" t="s">
        <v>568</v>
      </c>
      <c r="E643" s="2" t="s">
        <v>17</v>
      </c>
      <c r="F643" s="2">
        <v>94</v>
      </c>
      <c r="G643" s="2">
        <v>92</v>
      </c>
      <c r="H643" s="2">
        <v>69</v>
      </c>
      <c r="I643" s="2">
        <v>95</v>
      </c>
      <c r="J643" s="2">
        <v>84</v>
      </c>
      <c r="K643" s="2">
        <v>94</v>
      </c>
    </row>
    <row r="644" spans="1:11" x14ac:dyDescent="0.35">
      <c r="A644" s="2" t="s">
        <v>601</v>
      </c>
      <c r="B644" s="2" t="s">
        <v>602</v>
      </c>
      <c r="C644" s="2" t="s">
        <v>23</v>
      </c>
      <c r="D644" s="2" t="s">
        <v>568</v>
      </c>
      <c r="E644" s="2" t="s">
        <v>20</v>
      </c>
      <c r="F644" s="2">
        <v>72</v>
      </c>
      <c r="G644" s="2">
        <v>73</v>
      </c>
      <c r="H644" s="2">
        <v>98</v>
      </c>
      <c r="I644" s="2">
        <v>98</v>
      </c>
      <c r="J644" s="2">
        <v>98</v>
      </c>
      <c r="K644" s="2">
        <v>98</v>
      </c>
    </row>
    <row r="645" spans="1:11" x14ac:dyDescent="0.35">
      <c r="A645" s="2" t="s">
        <v>604</v>
      </c>
      <c r="B645" s="2" t="s">
        <v>605</v>
      </c>
      <c r="C645" s="2" t="s">
        <v>23</v>
      </c>
      <c r="D645" s="2" t="s">
        <v>568</v>
      </c>
      <c r="E645" s="2" t="s">
        <v>15</v>
      </c>
      <c r="F645" s="2">
        <v>38</v>
      </c>
      <c r="G645" s="2">
        <v>69</v>
      </c>
      <c r="H645" s="2">
        <v>33</v>
      </c>
      <c r="I645" s="2">
        <v>56</v>
      </c>
      <c r="J645" s="2">
        <v>54</v>
      </c>
      <c r="K645" s="2">
        <v>55</v>
      </c>
    </row>
    <row r="646" spans="1:11" x14ac:dyDescent="0.35">
      <c r="A646" s="2" t="s">
        <v>604</v>
      </c>
      <c r="B646" s="2" t="s">
        <v>606</v>
      </c>
      <c r="C646" s="2" t="s">
        <v>23</v>
      </c>
      <c r="D646" s="2" t="s">
        <v>568</v>
      </c>
      <c r="E646" s="2" t="s">
        <v>17</v>
      </c>
      <c r="F646" s="2">
        <v>35</v>
      </c>
      <c r="G646" s="2">
        <v>47</v>
      </c>
      <c r="H646" s="2">
        <v>53</v>
      </c>
      <c r="I646" s="2">
        <v>70</v>
      </c>
      <c r="J646" s="2">
        <v>55</v>
      </c>
      <c r="K646" s="2">
        <v>67</v>
      </c>
    </row>
    <row r="647" spans="1:11" x14ac:dyDescent="0.35">
      <c r="A647" s="2" t="s">
        <v>604</v>
      </c>
      <c r="B647" s="2" t="s">
        <v>606</v>
      </c>
      <c r="C647" s="2" t="s">
        <v>23</v>
      </c>
      <c r="D647" s="2" t="s">
        <v>577</v>
      </c>
      <c r="E647" s="2" t="s">
        <v>20</v>
      </c>
      <c r="F647" s="2">
        <v>58</v>
      </c>
      <c r="G647" s="2">
        <v>67</v>
      </c>
      <c r="H647" s="2">
        <v>55</v>
      </c>
      <c r="I647" s="2">
        <v>72</v>
      </c>
      <c r="J647" s="2">
        <v>57</v>
      </c>
      <c r="K647" s="2">
        <v>71</v>
      </c>
    </row>
    <row r="648" spans="1:11" x14ac:dyDescent="0.35">
      <c r="A648" s="2" t="s">
        <v>607</v>
      </c>
      <c r="B648" s="2" t="s">
        <v>608</v>
      </c>
      <c r="C648" s="2" t="s">
        <v>18</v>
      </c>
      <c r="D648" s="2" t="s">
        <v>568</v>
      </c>
      <c r="E648" s="2" t="s">
        <v>15</v>
      </c>
      <c r="F648" s="2">
        <v>49</v>
      </c>
      <c r="G648" s="2">
        <v>55</v>
      </c>
      <c r="H648" s="2">
        <v>54</v>
      </c>
      <c r="I648" s="2">
        <v>52</v>
      </c>
      <c r="J648" s="2">
        <v>58</v>
      </c>
      <c r="K648" s="2">
        <v>69</v>
      </c>
    </row>
    <row r="649" spans="1:11" x14ac:dyDescent="0.35">
      <c r="A649" s="2" t="s">
        <v>607</v>
      </c>
      <c r="B649" s="2" t="s">
        <v>609</v>
      </c>
      <c r="C649" s="2" t="s">
        <v>18</v>
      </c>
      <c r="D649" s="2" t="s">
        <v>568</v>
      </c>
      <c r="E649" s="2" t="s">
        <v>17</v>
      </c>
      <c r="F649" s="2">
        <v>59</v>
      </c>
      <c r="G649" s="2">
        <v>60</v>
      </c>
      <c r="H649" s="2">
        <v>66</v>
      </c>
      <c r="I649" s="2">
        <v>53</v>
      </c>
      <c r="J649" s="2">
        <v>64</v>
      </c>
      <c r="K649" s="2">
        <v>72</v>
      </c>
    </row>
    <row r="650" spans="1:11" x14ac:dyDescent="0.35">
      <c r="A650" s="2" t="s">
        <v>607</v>
      </c>
      <c r="B650" s="2" t="s">
        <v>608</v>
      </c>
      <c r="C650" s="2" t="s">
        <v>16</v>
      </c>
      <c r="D650" s="2" t="s">
        <v>568</v>
      </c>
      <c r="E650" s="2" t="s">
        <v>20</v>
      </c>
      <c r="F650" s="2">
        <v>61</v>
      </c>
      <c r="G650" s="2">
        <v>61</v>
      </c>
      <c r="H650" s="2">
        <v>75</v>
      </c>
      <c r="I650" s="2">
        <v>66</v>
      </c>
      <c r="J650" s="2">
        <v>57</v>
      </c>
      <c r="K650" s="2">
        <v>69</v>
      </c>
    </row>
    <row r="651" spans="1:11" x14ac:dyDescent="0.35">
      <c r="A651" s="2" t="s">
        <v>610</v>
      </c>
      <c r="B651" s="2" t="s">
        <v>611</v>
      </c>
      <c r="C651" s="2" t="s">
        <v>23</v>
      </c>
      <c r="D651" s="2" t="s">
        <v>572</v>
      </c>
      <c r="E651" s="2" t="s">
        <v>15</v>
      </c>
      <c r="F651" s="2">
        <v>58</v>
      </c>
      <c r="G651" s="2">
        <v>82</v>
      </c>
      <c r="H651" s="2">
        <v>70</v>
      </c>
      <c r="I651" s="2">
        <v>75</v>
      </c>
      <c r="J651" s="2">
        <v>80</v>
      </c>
      <c r="K651" s="2">
        <v>80</v>
      </c>
    </row>
    <row r="652" spans="1:11" x14ac:dyDescent="0.35">
      <c r="A652" s="2" t="s">
        <v>610</v>
      </c>
      <c r="B652" s="2" t="s">
        <v>611</v>
      </c>
      <c r="C652" s="2" t="s">
        <v>23</v>
      </c>
      <c r="D652" s="2" t="s">
        <v>568</v>
      </c>
      <c r="E652" s="2" t="s">
        <v>17</v>
      </c>
      <c r="F652" s="2">
        <v>60</v>
      </c>
      <c r="G652" s="2">
        <v>65</v>
      </c>
      <c r="H652" s="2">
        <v>76</v>
      </c>
      <c r="I652" s="2">
        <v>85</v>
      </c>
      <c r="J652" s="2">
        <v>88</v>
      </c>
      <c r="K652" s="2">
        <v>85</v>
      </c>
    </row>
    <row r="653" spans="1:11" x14ac:dyDescent="0.35">
      <c r="A653" s="2" t="s">
        <v>610</v>
      </c>
      <c r="B653" s="2" t="s">
        <v>611</v>
      </c>
      <c r="C653" s="2" t="s">
        <v>23</v>
      </c>
      <c r="D653" s="2" t="s">
        <v>568</v>
      </c>
      <c r="E653" s="2" t="s">
        <v>20</v>
      </c>
      <c r="F653" s="2">
        <v>74</v>
      </c>
      <c r="G653" s="2">
        <v>87</v>
      </c>
      <c r="H653" s="2">
        <v>78</v>
      </c>
      <c r="I653" s="2">
        <v>89</v>
      </c>
      <c r="J653" s="2">
        <v>80</v>
      </c>
      <c r="K653" s="2">
        <v>90</v>
      </c>
    </row>
    <row r="654" spans="1:11" x14ac:dyDescent="0.35">
      <c r="A654" s="2" t="s">
        <v>612</v>
      </c>
      <c r="B654" s="2" t="s">
        <v>613</v>
      </c>
      <c r="C654" s="2" t="s">
        <v>13</v>
      </c>
      <c r="D654" s="2" t="s">
        <v>568</v>
      </c>
      <c r="E654" s="2" t="s">
        <v>15</v>
      </c>
      <c r="F654" s="2">
        <v>51</v>
      </c>
      <c r="G654" s="2">
        <v>83</v>
      </c>
      <c r="H654" s="2">
        <v>65</v>
      </c>
      <c r="I654" s="2">
        <v>80</v>
      </c>
      <c r="J654" s="2">
        <v>71</v>
      </c>
      <c r="K654" s="2">
        <v>76</v>
      </c>
    </row>
    <row r="655" spans="1:11" x14ac:dyDescent="0.35">
      <c r="A655" s="2" t="s">
        <v>612</v>
      </c>
      <c r="B655" s="2" t="s">
        <v>613</v>
      </c>
      <c r="C655" s="2" t="s">
        <v>18</v>
      </c>
      <c r="D655" s="2" t="s">
        <v>568</v>
      </c>
      <c r="E655" s="2" t="s">
        <v>17</v>
      </c>
      <c r="F655" s="2">
        <v>66</v>
      </c>
      <c r="G655" s="2">
        <v>66</v>
      </c>
      <c r="H655" s="2">
        <v>66</v>
      </c>
      <c r="I655" s="2">
        <v>72</v>
      </c>
      <c r="J655" s="2">
        <v>80</v>
      </c>
      <c r="K655" s="2">
        <v>72</v>
      </c>
    </row>
    <row r="656" spans="1:11" x14ac:dyDescent="0.35">
      <c r="A656" s="2" t="s">
        <v>612</v>
      </c>
      <c r="B656" s="2" t="s">
        <v>613</v>
      </c>
      <c r="C656" s="2" t="s">
        <v>18</v>
      </c>
      <c r="D656" s="2" t="s">
        <v>568</v>
      </c>
      <c r="E656" s="2" t="s">
        <v>20</v>
      </c>
      <c r="F656" s="2">
        <v>70</v>
      </c>
      <c r="G656" s="2">
        <v>78</v>
      </c>
      <c r="H656" s="2">
        <v>66</v>
      </c>
      <c r="I656" s="2">
        <v>77</v>
      </c>
      <c r="J656" s="2">
        <v>82</v>
      </c>
      <c r="K656" s="2">
        <v>83</v>
      </c>
    </row>
    <row r="657" spans="1:11" x14ac:dyDescent="0.35">
      <c r="A657" s="2" t="s">
        <v>614</v>
      </c>
      <c r="B657" s="2" t="s">
        <v>615</v>
      </c>
      <c r="C657" s="2" t="s">
        <v>23</v>
      </c>
      <c r="D657" s="2" t="s">
        <v>568</v>
      </c>
      <c r="E657" s="2" t="s">
        <v>15</v>
      </c>
      <c r="F657" s="2">
        <v>70</v>
      </c>
      <c r="G657" s="2">
        <v>85</v>
      </c>
      <c r="H657" s="2">
        <v>65</v>
      </c>
      <c r="I657" s="2">
        <v>91</v>
      </c>
      <c r="J657" s="2">
        <v>71</v>
      </c>
      <c r="K657" s="2">
        <v>75</v>
      </c>
    </row>
    <row r="658" spans="1:11" x14ac:dyDescent="0.35">
      <c r="A658" s="2" t="s">
        <v>614</v>
      </c>
      <c r="B658" s="2" t="s">
        <v>615</v>
      </c>
      <c r="C658" s="2" t="s">
        <v>23</v>
      </c>
      <c r="D658" s="2" t="s">
        <v>577</v>
      </c>
      <c r="E658" s="2" t="s">
        <v>17</v>
      </c>
      <c r="F658" s="2">
        <v>74</v>
      </c>
      <c r="G658" s="2">
        <v>91</v>
      </c>
      <c r="H658" s="2">
        <v>67</v>
      </c>
      <c r="I658" s="2">
        <v>68</v>
      </c>
      <c r="J658" s="2" t="s">
        <v>616</v>
      </c>
      <c r="K658" s="2">
        <v>78</v>
      </c>
    </row>
    <row r="659" spans="1:11" x14ac:dyDescent="0.35">
      <c r="A659" s="2" t="s">
        <v>614</v>
      </c>
      <c r="B659" s="2" t="s">
        <v>615</v>
      </c>
      <c r="C659" s="2" t="s">
        <v>23</v>
      </c>
      <c r="D659" s="2" t="s">
        <v>568</v>
      </c>
      <c r="E659" s="2" t="s">
        <v>20</v>
      </c>
      <c r="F659" s="2">
        <v>85</v>
      </c>
      <c r="G659" s="2">
        <v>80</v>
      </c>
      <c r="H659" s="2">
        <v>71</v>
      </c>
      <c r="I659" s="2">
        <v>86</v>
      </c>
      <c r="J659" s="2">
        <v>86</v>
      </c>
      <c r="K659" s="2">
        <v>73</v>
      </c>
    </row>
    <row r="660" spans="1:11" x14ac:dyDescent="0.35">
      <c r="A660" s="2" t="s">
        <v>617</v>
      </c>
      <c r="B660" s="2" t="s">
        <v>618</v>
      </c>
      <c r="C660" s="2" t="s">
        <v>16</v>
      </c>
      <c r="D660" s="2" t="s">
        <v>568</v>
      </c>
      <c r="E660" s="2" t="s">
        <v>15</v>
      </c>
      <c r="F660" s="2">
        <v>79</v>
      </c>
      <c r="G660" s="2">
        <v>70</v>
      </c>
      <c r="H660" s="2">
        <v>63</v>
      </c>
      <c r="I660" s="2">
        <v>68</v>
      </c>
      <c r="J660" s="2">
        <v>83</v>
      </c>
      <c r="K660" s="2">
        <v>74</v>
      </c>
    </row>
    <row r="661" spans="1:11" x14ac:dyDescent="0.35">
      <c r="A661" s="2" t="s">
        <v>617</v>
      </c>
      <c r="B661" s="2" t="s">
        <v>618</v>
      </c>
      <c r="C661" s="2" t="s">
        <v>18</v>
      </c>
      <c r="D661" s="2" t="s">
        <v>568</v>
      </c>
      <c r="E661" s="2" t="s">
        <v>17</v>
      </c>
      <c r="F661" s="2">
        <v>67</v>
      </c>
      <c r="G661" s="2">
        <v>59</v>
      </c>
      <c r="H661" s="2">
        <v>65</v>
      </c>
      <c r="I661" s="2">
        <v>63</v>
      </c>
      <c r="J661" s="2">
        <v>77</v>
      </c>
      <c r="K661" s="2">
        <v>81</v>
      </c>
    </row>
    <row r="662" spans="1:11" x14ac:dyDescent="0.35">
      <c r="A662" s="2" t="s">
        <v>617</v>
      </c>
      <c r="B662" s="2" t="s">
        <v>618</v>
      </c>
      <c r="C662" s="2" t="s">
        <v>18</v>
      </c>
      <c r="D662" s="2" t="s">
        <v>568</v>
      </c>
      <c r="E662" s="2" t="s">
        <v>20</v>
      </c>
      <c r="F662" s="2">
        <v>48</v>
      </c>
      <c r="G662" s="2">
        <v>76</v>
      </c>
      <c r="H662" s="2">
        <v>63</v>
      </c>
      <c r="I662" s="2">
        <v>83</v>
      </c>
      <c r="J662" s="2">
        <v>84</v>
      </c>
      <c r="K662" s="2">
        <v>75</v>
      </c>
    </row>
    <row r="663" spans="1:11" x14ac:dyDescent="0.35">
      <c r="A663" s="2" t="s">
        <v>619</v>
      </c>
      <c r="B663" s="2" t="s">
        <v>620</v>
      </c>
      <c r="C663" s="2" t="s">
        <v>18</v>
      </c>
      <c r="D663" s="2" t="s">
        <v>577</v>
      </c>
      <c r="E663" s="2" t="s">
        <v>15</v>
      </c>
      <c r="F663" s="2">
        <v>64</v>
      </c>
      <c r="G663" s="2">
        <v>72</v>
      </c>
      <c r="H663" s="2">
        <v>69</v>
      </c>
      <c r="I663" s="2">
        <v>87</v>
      </c>
      <c r="J663" s="2">
        <v>76</v>
      </c>
      <c r="K663" s="2">
        <v>66</v>
      </c>
    </row>
    <row r="664" spans="1:11" x14ac:dyDescent="0.35">
      <c r="A664" s="2" t="s">
        <v>619</v>
      </c>
      <c r="B664" s="2" t="s">
        <v>620</v>
      </c>
      <c r="C664" s="2" t="s">
        <v>18</v>
      </c>
      <c r="D664" s="2" t="s">
        <v>568</v>
      </c>
      <c r="E664" s="2" t="s">
        <v>17</v>
      </c>
      <c r="F664" s="2">
        <v>72</v>
      </c>
      <c r="G664" s="2">
        <v>79</v>
      </c>
      <c r="H664" s="2">
        <v>75</v>
      </c>
      <c r="I664" s="2">
        <v>79</v>
      </c>
      <c r="J664" s="2">
        <v>89</v>
      </c>
      <c r="K664" s="2">
        <v>98</v>
      </c>
    </row>
    <row r="665" spans="1:11" x14ac:dyDescent="0.35">
      <c r="A665" s="2" t="s">
        <v>619</v>
      </c>
      <c r="B665" s="2" t="s">
        <v>620</v>
      </c>
      <c r="C665" s="2" t="s">
        <v>18</v>
      </c>
      <c r="D665" s="2" t="s">
        <v>568</v>
      </c>
      <c r="E665" s="2" t="s">
        <v>20</v>
      </c>
      <c r="F665" s="2">
        <v>91</v>
      </c>
      <c r="G665" s="2">
        <v>81</v>
      </c>
      <c r="H665" s="2">
        <v>80</v>
      </c>
      <c r="I665" s="2">
        <v>94</v>
      </c>
      <c r="J665" s="2">
        <v>92</v>
      </c>
      <c r="K665" s="2">
        <v>98</v>
      </c>
    </row>
    <row r="666" spans="1:11" x14ac:dyDescent="0.35">
      <c r="A666" s="2" t="s">
        <v>621</v>
      </c>
      <c r="B666" s="2" t="s">
        <v>622</v>
      </c>
      <c r="C666" s="2" t="s">
        <v>33</v>
      </c>
      <c r="D666" s="2" t="s">
        <v>568</v>
      </c>
      <c r="E666" s="2" t="s">
        <v>15</v>
      </c>
      <c r="F666" s="2">
        <v>63</v>
      </c>
      <c r="G666" s="2">
        <v>60</v>
      </c>
      <c r="H666" s="2">
        <v>53</v>
      </c>
      <c r="I666" s="2">
        <v>70</v>
      </c>
      <c r="J666" s="2">
        <v>82</v>
      </c>
      <c r="K666" s="2">
        <v>66</v>
      </c>
    </row>
    <row r="667" spans="1:11" x14ac:dyDescent="0.35">
      <c r="A667" s="2" t="s">
        <v>621</v>
      </c>
      <c r="B667" s="2" t="s">
        <v>622</v>
      </c>
      <c r="C667" s="2" t="s">
        <v>30</v>
      </c>
      <c r="D667" s="2" t="s">
        <v>572</v>
      </c>
      <c r="E667" s="2" t="s">
        <v>17</v>
      </c>
      <c r="F667" s="2">
        <v>56</v>
      </c>
      <c r="G667" s="2">
        <v>63</v>
      </c>
      <c r="H667" s="2">
        <v>55</v>
      </c>
      <c r="I667" s="2">
        <v>72</v>
      </c>
      <c r="J667" s="2">
        <v>74</v>
      </c>
      <c r="K667" s="2">
        <v>68</v>
      </c>
    </row>
    <row r="668" spans="1:11" x14ac:dyDescent="0.35">
      <c r="A668" s="2" t="s">
        <v>621</v>
      </c>
      <c r="B668" s="2" t="s">
        <v>623</v>
      </c>
      <c r="C668" s="2" t="s">
        <v>23</v>
      </c>
      <c r="D668" s="2" t="s">
        <v>568</v>
      </c>
      <c r="E668" s="2" t="s">
        <v>20</v>
      </c>
      <c r="F668" s="2">
        <v>39</v>
      </c>
      <c r="G668" s="2">
        <v>54</v>
      </c>
      <c r="H668" s="2">
        <v>55</v>
      </c>
      <c r="I668" s="2">
        <v>61</v>
      </c>
      <c r="J668" s="2">
        <v>61</v>
      </c>
      <c r="K668" s="2">
        <v>64</v>
      </c>
    </row>
    <row r="669" spans="1:11" x14ac:dyDescent="0.35">
      <c r="A669" s="2" t="s">
        <v>624</v>
      </c>
      <c r="B669" s="2" t="s">
        <v>625</v>
      </c>
      <c r="C669" s="2" t="s">
        <v>37</v>
      </c>
      <c r="D669" s="2" t="s">
        <v>568</v>
      </c>
      <c r="E669" s="2" t="s">
        <v>15</v>
      </c>
      <c r="F669" s="2">
        <v>35</v>
      </c>
      <c r="G669" s="2">
        <v>46</v>
      </c>
      <c r="H669" s="2">
        <v>50</v>
      </c>
      <c r="I669" s="2">
        <v>44</v>
      </c>
      <c r="J669" s="2">
        <v>54</v>
      </c>
      <c r="K669" s="2">
        <v>56</v>
      </c>
    </row>
    <row r="670" spans="1:11" x14ac:dyDescent="0.35">
      <c r="A670" s="2" t="s">
        <v>624</v>
      </c>
      <c r="B670" s="2" t="s">
        <v>625</v>
      </c>
      <c r="C670" s="2" t="s">
        <v>18</v>
      </c>
      <c r="D670" s="2" t="s">
        <v>568</v>
      </c>
      <c r="E670" s="2" t="s">
        <v>17</v>
      </c>
      <c r="F670" s="2">
        <v>54</v>
      </c>
      <c r="G670" s="2">
        <v>51</v>
      </c>
      <c r="H670" s="2">
        <v>38</v>
      </c>
      <c r="I670" s="2">
        <v>59</v>
      </c>
      <c r="J670" s="2">
        <v>69</v>
      </c>
      <c r="K670" s="2">
        <v>70</v>
      </c>
    </row>
    <row r="671" spans="1:11" x14ac:dyDescent="0.35">
      <c r="A671" s="2" t="s">
        <v>624</v>
      </c>
      <c r="B671" s="2" t="s">
        <v>625</v>
      </c>
      <c r="C671" s="2" t="s">
        <v>37</v>
      </c>
      <c r="D671" s="2" t="s">
        <v>568</v>
      </c>
      <c r="E671" s="2" t="s">
        <v>20</v>
      </c>
      <c r="F671" s="2">
        <v>60</v>
      </c>
      <c r="G671" s="2">
        <v>72</v>
      </c>
      <c r="H671" s="2">
        <v>55</v>
      </c>
      <c r="I671" s="2">
        <v>69</v>
      </c>
      <c r="J671" s="2" t="s">
        <v>583</v>
      </c>
      <c r="K671" s="2">
        <v>62</v>
      </c>
    </row>
    <row r="672" spans="1:11" x14ac:dyDescent="0.35">
      <c r="A672" s="2" t="s">
        <v>626</v>
      </c>
      <c r="B672" s="2" t="s">
        <v>627</v>
      </c>
      <c r="C672" s="2" t="s">
        <v>23</v>
      </c>
      <c r="D672" s="2" t="s">
        <v>568</v>
      </c>
      <c r="E672" s="2" t="s">
        <v>15</v>
      </c>
      <c r="F672" s="2">
        <v>53</v>
      </c>
      <c r="G672" s="2">
        <v>54</v>
      </c>
      <c r="H672" s="2">
        <v>48</v>
      </c>
      <c r="I672" s="2">
        <v>65</v>
      </c>
      <c r="J672" s="2">
        <v>62</v>
      </c>
      <c r="K672" s="2">
        <v>72</v>
      </c>
    </row>
    <row r="673" spans="1:11" x14ac:dyDescent="0.35">
      <c r="A673" s="2" t="s">
        <v>626</v>
      </c>
      <c r="B673" s="2" t="s">
        <v>627</v>
      </c>
      <c r="C673" s="2" t="s">
        <v>23</v>
      </c>
      <c r="D673" s="2" t="s">
        <v>568</v>
      </c>
      <c r="E673" s="2" t="s">
        <v>17</v>
      </c>
      <c r="F673" s="2">
        <v>44</v>
      </c>
      <c r="G673" s="2">
        <v>56</v>
      </c>
      <c r="H673" s="2">
        <v>54</v>
      </c>
      <c r="I673" s="2">
        <v>61</v>
      </c>
      <c r="J673" s="2">
        <v>68</v>
      </c>
      <c r="K673" s="2">
        <v>57</v>
      </c>
    </row>
    <row r="674" spans="1:11" x14ac:dyDescent="0.35">
      <c r="A674" s="2" t="s">
        <v>626</v>
      </c>
      <c r="B674" s="2" t="s">
        <v>627</v>
      </c>
      <c r="C674" s="2" t="s">
        <v>23</v>
      </c>
      <c r="D674" s="2" t="s">
        <v>568</v>
      </c>
      <c r="E674" s="2" t="s">
        <v>20</v>
      </c>
      <c r="F674" s="2">
        <v>64</v>
      </c>
      <c r="G674" s="2">
        <v>59</v>
      </c>
      <c r="H674" s="2">
        <v>69</v>
      </c>
      <c r="I674" s="2">
        <v>76</v>
      </c>
      <c r="J674" s="2">
        <v>80</v>
      </c>
      <c r="K674" s="2">
        <v>62</v>
      </c>
    </row>
    <row r="675" spans="1:11" x14ac:dyDescent="0.35">
      <c r="A675" s="2" t="s">
        <v>628</v>
      </c>
      <c r="B675" s="2" t="s">
        <v>629</v>
      </c>
      <c r="C675" s="2" t="s">
        <v>23</v>
      </c>
      <c r="D675" s="2" t="s">
        <v>568</v>
      </c>
      <c r="E675" s="2" t="s">
        <v>15</v>
      </c>
      <c r="F675" s="2">
        <v>41</v>
      </c>
      <c r="G675" s="2">
        <v>55</v>
      </c>
      <c r="H675" s="2">
        <v>54</v>
      </c>
      <c r="I675" s="2">
        <v>50</v>
      </c>
      <c r="J675" s="2">
        <v>59</v>
      </c>
      <c r="K675" s="2">
        <v>56</v>
      </c>
    </row>
    <row r="676" spans="1:11" x14ac:dyDescent="0.35">
      <c r="A676" s="2" t="s">
        <v>628</v>
      </c>
      <c r="B676" s="2" t="s">
        <v>629</v>
      </c>
      <c r="C676" s="2" t="s">
        <v>23</v>
      </c>
      <c r="D676" s="2" t="s">
        <v>568</v>
      </c>
      <c r="E676" s="2" t="s">
        <v>17</v>
      </c>
      <c r="F676" s="2">
        <v>45</v>
      </c>
      <c r="G676" s="2">
        <v>51</v>
      </c>
      <c r="H676" s="2">
        <v>62</v>
      </c>
      <c r="I676" s="2">
        <v>58</v>
      </c>
      <c r="J676" s="2">
        <v>57</v>
      </c>
      <c r="K676" s="2">
        <v>75</v>
      </c>
    </row>
    <row r="677" spans="1:11" x14ac:dyDescent="0.35">
      <c r="A677" s="2" t="s">
        <v>628</v>
      </c>
      <c r="B677" s="2" t="s">
        <v>629</v>
      </c>
      <c r="C677" s="2" t="s">
        <v>23</v>
      </c>
      <c r="D677" s="2" t="s">
        <v>568</v>
      </c>
      <c r="E677" s="2" t="s">
        <v>20</v>
      </c>
      <c r="F677" s="2">
        <v>56</v>
      </c>
      <c r="G677" s="2">
        <v>52</v>
      </c>
      <c r="H677" s="2">
        <v>60</v>
      </c>
      <c r="I677" s="2">
        <v>62</v>
      </c>
      <c r="J677" s="2">
        <v>62</v>
      </c>
      <c r="K677" s="2">
        <v>69</v>
      </c>
    </row>
    <row r="678" spans="1:11" x14ac:dyDescent="0.35">
      <c r="A678" s="2" t="s">
        <v>630</v>
      </c>
      <c r="B678" s="2" t="s">
        <v>631</v>
      </c>
      <c r="C678" s="2" t="s">
        <v>23</v>
      </c>
      <c r="D678" s="2" t="s">
        <v>568</v>
      </c>
      <c r="E678" s="2" t="s">
        <v>15</v>
      </c>
      <c r="F678" s="2">
        <v>34</v>
      </c>
      <c r="G678" s="2">
        <v>57</v>
      </c>
      <c r="H678" s="2">
        <v>46</v>
      </c>
      <c r="I678" s="2">
        <v>62</v>
      </c>
      <c r="J678" s="2">
        <v>63</v>
      </c>
      <c r="K678" s="2">
        <v>43</v>
      </c>
    </row>
    <row r="679" spans="1:11" x14ac:dyDescent="0.35">
      <c r="A679" s="2" t="s">
        <v>630</v>
      </c>
      <c r="B679" s="2" t="s">
        <v>632</v>
      </c>
      <c r="C679" s="2" t="s">
        <v>23</v>
      </c>
      <c r="D679" s="2" t="s">
        <v>568</v>
      </c>
      <c r="E679" s="2" t="s">
        <v>17</v>
      </c>
      <c r="F679" s="2">
        <v>60</v>
      </c>
      <c r="G679" s="2">
        <v>67</v>
      </c>
      <c r="H679" s="2">
        <v>62</v>
      </c>
      <c r="I679" s="2">
        <v>60</v>
      </c>
      <c r="J679" s="2">
        <v>75</v>
      </c>
      <c r="K679" s="2">
        <v>74</v>
      </c>
    </row>
    <row r="680" spans="1:11" x14ac:dyDescent="0.35">
      <c r="A680" s="2" t="s">
        <v>630</v>
      </c>
      <c r="B680" s="2" t="s">
        <v>632</v>
      </c>
      <c r="C680" s="2" t="s">
        <v>33</v>
      </c>
      <c r="D680" s="2" t="s">
        <v>568</v>
      </c>
      <c r="E680" s="2" t="s">
        <v>20</v>
      </c>
      <c r="F680" s="2">
        <v>57</v>
      </c>
      <c r="G680" s="2">
        <v>71</v>
      </c>
      <c r="H680" s="2">
        <v>77</v>
      </c>
      <c r="I680" s="2">
        <v>81</v>
      </c>
      <c r="J680" s="2">
        <v>81</v>
      </c>
      <c r="K680" s="2">
        <v>75</v>
      </c>
    </row>
    <row r="681" spans="1:11" x14ac:dyDescent="0.35">
      <c r="A681" s="2" t="s">
        <v>633</v>
      </c>
      <c r="B681" s="2" t="s">
        <v>634</v>
      </c>
      <c r="C681" s="2" t="s">
        <v>18</v>
      </c>
      <c r="D681" s="2" t="s">
        <v>568</v>
      </c>
      <c r="E681" s="2" t="s">
        <v>15</v>
      </c>
      <c r="F681" s="2">
        <v>56</v>
      </c>
      <c r="G681" s="2">
        <v>64</v>
      </c>
      <c r="H681" s="2">
        <v>66</v>
      </c>
      <c r="I681" s="2">
        <v>61</v>
      </c>
      <c r="J681" s="2">
        <v>61</v>
      </c>
      <c r="K681" s="2">
        <v>63</v>
      </c>
    </row>
    <row r="682" spans="1:11" x14ac:dyDescent="0.35">
      <c r="A682" s="2" t="s">
        <v>633</v>
      </c>
      <c r="B682" s="2" t="s">
        <v>635</v>
      </c>
      <c r="C682" s="2" t="s">
        <v>18</v>
      </c>
      <c r="D682" s="2" t="s">
        <v>597</v>
      </c>
      <c r="E682" s="2" t="s">
        <v>17</v>
      </c>
      <c r="F682" s="2">
        <v>53</v>
      </c>
      <c r="G682" s="2">
        <v>60</v>
      </c>
      <c r="H682" s="2">
        <v>58</v>
      </c>
      <c r="I682" s="2">
        <v>59</v>
      </c>
      <c r="J682" s="2">
        <v>63</v>
      </c>
      <c r="K682" s="2">
        <v>64</v>
      </c>
    </row>
    <row r="683" spans="1:11" x14ac:dyDescent="0.35">
      <c r="A683" s="2" t="s">
        <v>633</v>
      </c>
      <c r="B683" s="2" t="s">
        <v>635</v>
      </c>
      <c r="C683" s="2" t="s">
        <v>16</v>
      </c>
      <c r="D683" s="2" t="s">
        <v>568</v>
      </c>
      <c r="E683" s="2" t="s">
        <v>20</v>
      </c>
      <c r="F683" s="2">
        <v>63</v>
      </c>
      <c r="G683" s="2">
        <v>65</v>
      </c>
      <c r="H683" s="2">
        <v>66</v>
      </c>
      <c r="I683" s="2">
        <v>72</v>
      </c>
      <c r="J683" s="2">
        <v>71</v>
      </c>
      <c r="K683" s="2">
        <v>88</v>
      </c>
    </row>
    <row r="684" spans="1:11" x14ac:dyDescent="0.35">
      <c r="A684" s="2" t="s">
        <v>636</v>
      </c>
      <c r="B684" s="2" t="s">
        <v>637</v>
      </c>
      <c r="C684" s="2" t="s">
        <v>23</v>
      </c>
      <c r="D684" s="2" t="s">
        <v>568</v>
      </c>
      <c r="E684" s="2" t="s">
        <v>15</v>
      </c>
      <c r="F684" s="2">
        <v>69</v>
      </c>
      <c r="G684" s="2">
        <v>57</v>
      </c>
      <c r="H684" s="2">
        <v>57</v>
      </c>
      <c r="I684" s="2">
        <v>78</v>
      </c>
      <c r="J684" s="2">
        <v>80</v>
      </c>
      <c r="K684" s="2">
        <v>72</v>
      </c>
    </row>
    <row r="685" spans="1:11" x14ac:dyDescent="0.35">
      <c r="A685" s="2" t="s">
        <v>636</v>
      </c>
      <c r="B685" s="2" t="s">
        <v>637</v>
      </c>
      <c r="C685" s="2" t="s">
        <v>30</v>
      </c>
      <c r="D685" s="2" t="s">
        <v>568</v>
      </c>
      <c r="E685" s="2" t="s">
        <v>17</v>
      </c>
      <c r="F685" s="2">
        <v>63</v>
      </c>
      <c r="G685" s="2">
        <v>67</v>
      </c>
      <c r="H685" s="2">
        <v>64</v>
      </c>
      <c r="I685" s="2">
        <v>76</v>
      </c>
      <c r="J685" s="2">
        <v>65</v>
      </c>
      <c r="K685" s="2">
        <v>69</v>
      </c>
    </row>
    <row r="686" spans="1:11" x14ac:dyDescent="0.35">
      <c r="A686" s="2" t="s">
        <v>636</v>
      </c>
      <c r="B686" s="2" t="s">
        <v>637</v>
      </c>
      <c r="C686" s="2" t="s">
        <v>33</v>
      </c>
      <c r="D686" s="2" t="s">
        <v>568</v>
      </c>
      <c r="E686" s="2" t="s">
        <v>20</v>
      </c>
      <c r="F686" s="2">
        <v>66</v>
      </c>
      <c r="G686" s="2">
        <v>62</v>
      </c>
      <c r="H686" s="2">
        <v>65</v>
      </c>
      <c r="I686" s="2">
        <v>72</v>
      </c>
      <c r="J686" s="2">
        <v>57</v>
      </c>
      <c r="K686" s="2">
        <v>78</v>
      </c>
    </row>
    <row r="687" spans="1:11" x14ac:dyDescent="0.35">
      <c r="A687" s="2" t="s">
        <v>638</v>
      </c>
      <c r="B687" s="2" t="s">
        <v>639</v>
      </c>
      <c r="C687" s="2" t="s">
        <v>30</v>
      </c>
      <c r="D687" s="2" t="s">
        <v>640</v>
      </c>
      <c r="E687" s="2" t="s">
        <v>15</v>
      </c>
      <c r="F687" s="2">
        <v>67</v>
      </c>
      <c r="G687" s="2">
        <v>86</v>
      </c>
      <c r="H687" s="2">
        <v>89</v>
      </c>
      <c r="I687" s="2">
        <v>65</v>
      </c>
      <c r="J687" s="2">
        <v>77</v>
      </c>
      <c r="K687" s="2">
        <v>76</v>
      </c>
    </row>
    <row r="688" spans="1:11" x14ac:dyDescent="0.35">
      <c r="A688" s="2" t="s">
        <v>638</v>
      </c>
      <c r="B688" s="2" t="s">
        <v>641</v>
      </c>
      <c r="C688" s="2" t="s">
        <v>25</v>
      </c>
      <c r="D688" s="2" t="s">
        <v>568</v>
      </c>
      <c r="E688" s="2" t="s">
        <v>17</v>
      </c>
      <c r="F688" s="2">
        <v>65</v>
      </c>
      <c r="G688" s="2">
        <v>64</v>
      </c>
      <c r="H688" s="2">
        <v>62</v>
      </c>
      <c r="I688" s="2">
        <v>61</v>
      </c>
      <c r="J688" s="2">
        <v>71</v>
      </c>
      <c r="K688" s="2">
        <v>81</v>
      </c>
    </row>
    <row r="689" spans="1:11" x14ac:dyDescent="0.35">
      <c r="A689" s="2" t="s">
        <v>638</v>
      </c>
      <c r="B689" s="2" t="s">
        <v>641</v>
      </c>
      <c r="C689" s="2" t="s">
        <v>23</v>
      </c>
      <c r="D689" s="2" t="s">
        <v>568</v>
      </c>
      <c r="E689" s="2" t="s">
        <v>20</v>
      </c>
      <c r="F689" s="2">
        <v>68</v>
      </c>
      <c r="G689" s="2">
        <v>90</v>
      </c>
      <c r="H689" s="2">
        <v>79</v>
      </c>
      <c r="I689" s="2">
        <v>67</v>
      </c>
      <c r="J689" s="2">
        <v>74</v>
      </c>
      <c r="K689" s="2">
        <v>87</v>
      </c>
    </row>
    <row r="690" spans="1:11" x14ac:dyDescent="0.35">
      <c r="A690" s="2" t="s">
        <v>642</v>
      </c>
      <c r="B690" s="2" t="s">
        <v>643</v>
      </c>
      <c r="C690" s="2" t="s">
        <v>23</v>
      </c>
      <c r="D690" s="2" t="s">
        <v>568</v>
      </c>
      <c r="E690" s="2" t="s">
        <v>15</v>
      </c>
      <c r="F690" s="2">
        <v>49</v>
      </c>
      <c r="G690" s="2">
        <v>52</v>
      </c>
      <c r="H690" s="2">
        <v>40</v>
      </c>
      <c r="I690" s="2">
        <v>52</v>
      </c>
      <c r="J690" s="2">
        <v>38</v>
      </c>
      <c r="K690" s="2">
        <v>66</v>
      </c>
    </row>
    <row r="691" spans="1:11" x14ac:dyDescent="0.35">
      <c r="A691" s="2" t="s">
        <v>642</v>
      </c>
      <c r="B691" s="2" t="s">
        <v>643</v>
      </c>
      <c r="C691" s="2" t="s">
        <v>23</v>
      </c>
      <c r="D691" s="2" t="s">
        <v>568</v>
      </c>
      <c r="E691" s="2" t="s">
        <v>17</v>
      </c>
      <c r="F691" s="2">
        <v>54</v>
      </c>
      <c r="G691" s="2">
        <v>59</v>
      </c>
      <c r="H691" s="2">
        <v>51</v>
      </c>
      <c r="I691" s="2">
        <v>49</v>
      </c>
      <c r="J691" s="2">
        <v>58</v>
      </c>
      <c r="K691" s="2">
        <v>66</v>
      </c>
    </row>
    <row r="692" spans="1:11" x14ac:dyDescent="0.35">
      <c r="A692" s="2" t="s">
        <v>642</v>
      </c>
      <c r="B692" s="2" t="s">
        <v>643</v>
      </c>
      <c r="C692" s="2" t="s">
        <v>23</v>
      </c>
      <c r="D692" s="2" t="s">
        <v>568</v>
      </c>
      <c r="E692" s="2" t="s">
        <v>20</v>
      </c>
      <c r="F692" s="2">
        <v>64</v>
      </c>
      <c r="G692" s="2">
        <v>56</v>
      </c>
      <c r="H692" s="2">
        <v>47</v>
      </c>
      <c r="I692" s="2">
        <v>66</v>
      </c>
      <c r="J692" s="2">
        <v>70</v>
      </c>
      <c r="K692" s="2">
        <v>65</v>
      </c>
    </row>
    <row r="693" spans="1:11" x14ac:dyDescent="0.35">
      <c r="A693" s="2" t="s">
        <v>644</v>
      </c>
      <c r="B693" s="2" t="s">
        <v>645</v>
      </c>
      <c r="C693" s="2" t="s">
        <v>18</v>
      </c>
      <c r="D693" s="2" t="s">
        <v>568</v>
      </c>
      <c r="E693" s="2" t="s">
        <v>15</v>
      </c>
      <c r="F693" s="2">
        <v>51</v>
      </c>
      <c r="G693" s="2">
        <v>65</v>
      </c>
      <c r="H693" s="2">
        <v>48</v>
      </c>
      <c r="I693" s="2">
        <v>60</v>
      </c>
      <c r="J693" s="2">
        <v>60</v>
      </c>
      <c r="K693" s="2">
        <v>63</v>
      </c>
    </row>
    <row r="694" spans="1:11" x14ac:dyDescent="0.35">
      <c r="A694" s="2" t="s">
        <v>644</v>
      </c>
      <c r="B694" s="2" t="s">
        <v>646</v>
      </c>
      <c r="C694" s="2" t="s">
        <v>13</v>
      </c>
      <c r="D694" s="2" t="s">
        <v>568</v>
      </c>
      <c r="E694" s="2" t="s">
        <v>17</v>
      </c>
      <c r="F694" s="2">
        <v>48</v>
      </c>
      <c r="G694" s="2">
        <v>60</v>
      </c>
      <c r="H694" s="2">
        <v>50</v>
      </c>
      <c r="I694" s="2">
        <v>44</v>
      </c>
      <c r="J694" s="2">
        <v>59</v>
      </c>
      <c r="K694" s="2">
        <v>61</v>
      </c>
    </row>
    <row r="695" spans="1:11" x14ac:dyDescent="0.35">
      <c r="A695" s="2" t="s">
        <v>644</v>
      </c>
      <c r="B695" s="2" t="s">
        <v>646</v>
      </c>
      <c r="C695" s="2" t="s">
        <v>18</v>
      </c>
      <c r="D695" s="2" t="s">
        <v>577</v>
      </c>
      <c r="E695" s="2" t="s">
        <v>20</v>
      </c>
      <c r="F695" s="2">
        <v>46</v>
      </c>
      <c r="G695" s="2">
        <v>50</v>
      </c>
      <c r="H695" s="2">
        <v>52</v>
      </c>
      <c r="I695" s="2">
        <v>45</v>
      </c>
      <c r="J695" s="2">
        <v>66</v>
      </c>
      <c r="K695" s="2">
        <v>56</v>
      </c>
    </row>
    <row r="696" spans="1:11" x14ac:dyDescent="0.35">
      <c r="A696" s="2" t="s">
        <v>647</v>
      </c>
      <c r="B696" s="2" t="s">
        <v>648</v>
      </c>
      <c r="C696" s="2" t="s">
        <v>13</v>
      </c>
      <c r="D696" s="2" t="s">
        <v>568</v>
      </c>
      <c r="E696" s="2" t="s">
        <v>15</v>
      </c>
      <c r="F696" s="2">
        <v>48</v>
      </c>
      <c r="G696" s="2">
        <v>53</v>
      </c>
      <c r="H696" s="2">
        <v>44</v>
      </c>
      <c r="I696" s="2">
        <v>61</v>
      </c>
      <c r="J696" s="2">
        <v>61</v>
      </c>
      <c r="K696" s="2">
        <v>69</v>
      </c>
    </row>
    <row r="697" spans="1:11" x14ac:dyDescent="0.35">
      <c r="A697" s="2" t="s">
        <v>647</v>
      </c>
      <c r="B697" s="2" t="s">
        <v>648</v>
      </c>
      <c r="C697" s="2" t="s">
        <v>18</v>
      </c>
      <c r="D697" s="2" t="s">
        <v>568</v>
      </c>
      <c r="E697" s="2" t="s">
        <v>17</v>
      </c>
      <c r="F697" s="2">
        <v>49</v>
      </c>
      <c r="G697" s="2">
        <v>56</v>
      </c>
      <c r="H697" s="2">
        <v>66</v>
      </c>
      <c r="I697" s="2">
        <v>56</v>
      </c>
      <c r="J697" s="2">
        <v>60</v>
      </c>
      <c r="K697" s="2">
        <v>56</v>
      </c>
    </row>
    <row r="698" spans="1:11" x14ac:dyDescent="0.35">
      <c r="A698" s="2" t="s">
        <v>647</v>
      </c>
      <c r="B698" s="2" t="s">
        <v>649</v>
      </c>
      <c r="C698" s="2" t="s">
        <v>18</v>
      </c>
      <c r="D698" s="2" t="s">
        <v>568</v>
      </c>
      <c r="E698" s="2" t="s">
        <v>20</v>
      </c>
      <c r="F698" s="2">
        <v>44</v>
      </c>
      <c r="G698" s="2">
        <v>53</v>
      </c>
      <c r="H698" s="2">
        <v>40</v>
      </c>
      <c r="I698" s="2">
        <v>54</v>
      </c>
      <c r="J698" s="2">
        <v>61</v>
      </c>
      <c r="K698" s="2">
        <v>67</v>
      </c>
    </row>
    <row r="699" spans="1:11" x14ac:dyDescent="0.35">
      <c r="A699" s="2" t="s">
        <v>650</v>
      </c>
      <c r="B699" s="2" t="s">
        <v>651</v>
      </c>
      <c r="C699" s="2" t="s">
        <v>23</v>
      </c>
      <c r="D699" s="2" t="s">
        <v>568</v>
      </c>
      <c r="E699" s="2" t="s">
        <v>15</v>
      </c>
      <c r="F699" s="2">
        <v>71</v>
      </c>
      <c r="G699" s="2">
        <v>86</v>
      </c>
      <c r="H699" s="2">
        <v>76</v>
      </c>
      <c r="I699" s="2">
        <v>71</v>
      </c>
      <c r="J699" s="2">
        <v>75</v>
      </c>
      <c r="K699" s="2">
        <v>86</v>
      </c>
    </row>
    <row r="700" spans="1:11" x14ac:dyDescent="0.35">
      <c r="A700" s="2" t="s">
        <v>650</v>
      </c>
      <c r="B700" s="2" t="s">
        <v>652</v>
      </c>
      <c r="C700" s="2" t="s">
        <v>23</v>
      </c>
      <c r="D700" s="2" t="s">
        <v>568</v>
      </c>
      <c r="E700" s="2" t="s">
        <v>17</v>
      </c>
      <c r="F700" s="2">
        <v>83</v>
      </c>
      <c r="G700" s="2">
        <v>85</v>
      </c>
      <c r="H700" s="2">
        <v>79</v>
      </c>
      <c r="I700" s="2">
        <v>91</v>
      </c>
      <c r="J700" s="2">
        <v>84</v>
      </c>
      <c r="K700" s="2">
        <v>86</v>
      </c>
    </row>
    <row r="701" spans="1:11" x14ac:dyDescent="0.35">
      <c r="A701" s="2" t="s">
        <v>650</v>
      </c>
      <c r="B701" s="2" t="s">
        <v>652</v>
      </c>
      <c r="C701" s="2" t="s">
        <v>23</v>
      </c>
      <c r="D701" s="2" t="s">
        <v>568</v>
      </c>
      <c r="E701" s="2" t="s">
        <v>20</v>
      </c>
      <c r="F701" s="2">
        <v>82</v>
      </c>
      <c r="G701" s="2">
        <v>82</v>
      </c>
      <c r="H701" s="2">
        <v>76</v>
      </c>
      <c r="I701" s="2">
        <v>74</v>
      </c>
      <c r="J701" s="2">
        <v>79</v>
      </c>
      <c r="K701" s="2">
        <v>89</v>
      </c>
    </row>
    <row r="702" spans="1:11" x14ac:dyDescent="0.35">
      <c r="A702" s="2" t="s">
        <v>653</v>
      </c>
      <c r="B702" s="2" t="s">
        <v>654</v>
      </c>
      <c r="C702" s="2" t="s">
        <v>18</v>
      </c>
      <c r="D702" s="2" t="s">
        <v>568</v>
      </c>
      <c r="E702" s="2" t="s">
        <v>15</v>
      </c>
      <c r="F702" s="2" t="s">
        <v>174</v>
      </c>
      <c r="G702" s="2">
        <v>72</v>
      </c>
      <c r="H702" s="2">
        <v>51</v>
      </c>
      <c r="I702" s="2">
        <v>47</v>
      </c>
      <c r="J702" s="2">
        <v>54</v>
      </c>
      <c r="K702" s="2">
        <v>61</v>
      </c>
    </row>
    <row r="703" spans="1:11" x14ac:dyDescent="0.35">
      <c r="A703" s="2" t="s">
        <v>653</v>
      </c>
      <c r="B703" s="2" t="s">
        <v>655</v>
      </c>
      <c r="C703" s="2" t="s">
        <v>18</v>
      </c>
      <c r="D703" s="2" t="s">
        <v>572</v>
      </c>
      <c r="E703" s="2" t="s">
        <v>17</v>
      </c>
      <c r="F703" s="2">
        <v>48</v>
      </c>
      <c r="G703" s="2">
        <v>57</v>
      </c>
      <c r="H703" s="2">
        <v>60</v>
      </c>
      <c r="I703" s="2">
        <v>62</v>
      </c>
      <c r="J703" s="2">
        <v>62</v>
      </c>
      <c r="K703" s="2">
        <v>68</v>
      </c>
    </row>
    <row r="704" spans="1:11" x14ac:dyDescent="0.35">
      <c r="A704" s="2" t="s">
        <v>638</v>
      </c>
      <c r="B704" s="2" t="s">
        <v>641</v>
      </c>
      <c r="C704" s="2" t="s">
        <v>25</v>
      </c>
      <c r="D704" s="2" t="s">
        <v>640</v>
      </c>
      <c r="E704" s="2" t="s">
        <v>17</v>
      </c>
      <c r="F704" s="2">
        <v>65</v>
      </c>
      <c r="G704" s="2">
        <v>64</v>
      </c>
      <c r="H704" s="2">
        <v>62</v>
      </c>
      <c r="I704" s="2">
        <v>61</v>
      </c>
      <c r="J704" s="2">
        <v>71</v>
      </c>
      <c r="K704" s="2">
        <v>81</v>
      </c>
    </row>
    <row r="705" spans="1:11" x14ac:dyDescent="0.35">
      <c r="A705" s="2" t="s">
        <v>653</v>
      </c>
      <c r="B705" s="2" t="s">
        <v>656</v>
      </c>
      <c r="C705" s="2" t="s">
        <v>18</v>
      </c>
      <c r="D705" s="2" t="s">
        <v>568</v>
      </c>
      <c r="E705" s="2" t="s">
        <v>20</v>
      </c>
      <c r="F705" s="2">
        <v>54</v>
      </c>
      <c r="G705" s="2">
        <v>67</v>
      </c>
      <c r="H705" s="2">
        <v>61</v>
      </c>
      <c r="I705" s="2">
        <v>64</v>
      </c>
      <c r="J705" s="2">
        <v>70</v>
      </c>
      <c r="K705" s="2">
        <v>62</v>
      </c>
    </row>
    <row r="706" spans="1:11" x14ac:dyDescent="0.35">
      <c r="A706" s="2" t="s">
        <v>657</v>
      </c>
      <c r="B706" s="2" t="s">
        <v>658</v>
      </c>
      <c r="C706" s="2" t="s">
        <v>18</v>
      </c>
      <c r="D706" s="2" t="s">
        <v>568</v>
      </c>
      <c r="E706" s="2" t="s">
        <v>15</v>
      </c>
      <c r="F706" s="2">
        <v>56</v>
      </c>
      <c r="G706" s="2">
        <v>58</v>
      </c>
      <c r="H706" s="2">
        <v>61</v>
      </c>
      <c r="I706" s="2">
        <v>64</v>
      </c>
      <c r="J706" s="2">
        <v>69</v>
      </c>
      <c r="K706" s="2">
        <v>64</v>
      </c>
    </row>
    <row r="707" spans="1:11" x14ac:dyDescent="0.35">
      <c r="A707" s="2" t="s">
        <v>657</v>
      </c>
      <c r="B707" s="2" t="s">
        <v>659</v>
      </c>
      <c r="C707" s="2" t="s">
        <v>18</v>
      </c>
      <c r="D707" s="2" t="s">
        <v>568</v>
      </c>
      <c r="E707" s="2" t="s">
        <v>17</v>
      </c>
      <c r="F707" s="2">
        <v>59</v>
      </c>
      <c r="G707" s="2">
        <v>85</v>
      </c>
      <c r="H707" s="2">
        <v>87</v>
      </c>
      <c r="I707" s="2">
        <v>88</v>
      </c>
      <c r="J707" s="2">
        <v>79</v>
      </c>
      <c r="K707" s="2">
        <v>65</v>
      </c>
    </row>
    <row r="708" spans="1:11" x14ac:dyDescent="0.35">
      <c r="A708" s="2" t="s">
        <v>657</v>
      </c>
      <c r="B708" s="2" t="s">
        <v>660</v>
      </c>
      <c r="C708" s="2" t="s">
        <v>18</v>
      </c>
      <c r="D708" s="2" t="s">
        <v>568</v>
      </c>
      <c r="E708" s="2" t="s">
        <v>20</v>
      </c>
      <c r="F708" s="2">
        <v>82</v>
      </c>
      <c r="G708" s="2">
        <v>81</v>
      </c>
      <c r="H708" s="2">
        <v>77</v>
      </c>
      <c r="I708" s="2">
        <v>88</v>
      </c>
      <c r="J708" s="2">
        <v>90</v>
      </c>
      <c r="K708" s="2">
        <v>98</v>
      </c>
    </row>
    <row r="709" spans="1:11" x14ac:dyDescent="0.35">
      <c r="A709" s="2" t="s">
        <v>661</v>
      </c>
      <c r="B709" s="2" t="s">
        <v>662</v>
      </c>
      <c r="C709" s="2" t="s">
        <v>37</v>
      </c>
      <c r="D709" s="2" t="s">
        <v>568</v>
      </c>
      <c r="E709" s="2" t="s">
        <v>15</v>
      </c>
      <c r="F709" s="2">
        <v>79</v>
      </c>
      <c r="G709" s="2">
        <v>73</v>
      </c>
      <c r="H709" s="2">
        <v>64</v>
      </c>
      <c r="I709" s="2">
        <v>75</v>
      </c>
      <c r="J709" s="2">
        <v>65</v>
      </c>
      <c r="K709" s="2">
        <v>74</v>
      </c>
    </row>
    <row r="710" spans="1:11" x14ac:dyDescent="0.35">
      <c r="A710" s="2" t="s">
        <v>661</v>
      </c>
      <c r="B710" s="2" t="s">
        <v>663</v>
      </c>
      <c r="C710" s="2" t="s">
        <v>37</v>
      </c>
      <c r="D710" s="2" t="s">
        <v>568</v>
      </c>
      <c r="E710" s="2" t="s">
        <v>17</v>
      </c>
      <c r="F710" s="2">
        <v>57</v>
      </c>
      <c r="G710" s="2">
        <v>77</v>
      </c>
      <c r="H710" s="2">
        <v>78</v>
      </c>
      <c r="I710" s="2">
        <v>72</v>
      </c>
      <c r="J710" s="2">
        <v>78</v>
      </c>
      <c r="K710" s="2">
        <v>79</v>
      </c>
    </row>
    <row r="711" spans="1:11" x14ac:dyDescent="0.35">
      <c r="A711" s="2" t="s">
        <v>661</v>
      </c>
      <c r="B711" s="2" t="s">
        <v>663</v>
      </c>
      <c r="C711" s="2" t="s">
        <v>18</v>
      </c>
      <c r="D711" s="2" t="s">
        <v>568</v>
      </c>
      <c r="E711" s="2" t="s">
        <v>20</v>
      </c>
      <c r="F711" s="2">
        <v>70</v>
      </c>
      <c r="G711" s="2">
        <v>71</v>
      </c>
      <c r="H711" s="2">
        <v>76</v>
      </c>
      <c r="I711" s="2">
        <v>70</v>
      </c>
      <c r="J711" s="2">
        <v>82</v>
      </c>
      <c r="K711" s="2">
        <v>85</v>
      </c>
    </row>
    <row r="712" spans="1:11" x14ac:dyDescent="0.35">
      <c r="A712" s="2" t="s">
        <v>664</v>
      </c>
      <c r="B712" s="2" t="s">
        <v>665</v>
      </c>
      <c r="C712" s="2" t="s">
        <v>23</v>
      </c>
      <c r="D712" s="2" t="s">
        <v>568</v>
      </c>
      <c r="E712" s="2" t="s">
        <v>15</v>
      </c>
      <c r="F712" s="2">
        <v>63</v>
      </c>
      <c r="G712" s="2">
        <v>73</v>
      </c>
      <c r="H712" s="2">
        <v>68</v>
      </c>
      <c r="I712" s="2">
        <v>77</v>
      </c>
      <c r="J712" s="2">
        <v>78</v>
      </c>
      <c r="K712" s="2">
        <v>77</v>
      </c>
    </row>
    <row r="713" spans="1:11" x14ac:dyDescent="0.35">
      <c r="A713" s="2" t="s">
        <v>664</v>
      </c>
      <c r="B713" s="2" t="s">
        <v>665</v>
      </c>
      <c r="C713" s="2" t="s">
        <v>23</v>
      </c>
      <c r="D713" s="2" t="s">
        <v>572</v>
      </c>
      <c r="E713" s="2" t="s">
        <v>17</v>
      </c>
      <c r="F713" s="2">
        <v>63</v>
      </c>
      <c r="G713" s="2">
        <v>77</v>
      </c>
      <c r="H713" s="2">
        <v>72</v>
      </c>
      <c r="I713" s="2">
        <v>91</v>
      </c>
      <c r="J713" s="2">
        <v>67</v>
      </c>
      <c r="K713" s="2">
        <v>91</v>
      </c>
    </row>
    <row r="714" spans="1:11" x14ac:dyDescent="0.35">
      <c r="A714" s="2" t="s">
        <v>664</v>
      </c>
      <c r="B714" s="2" t="s">
        <v>665</v>
      </c>
      <c r="C714" s="2" t="s">
        <v>30</v>
      </c>
      <c r="D714" s="2" t="s">
        <v>640</v>
      </c>
      <c r="E714" s="2" t="s">
        <v>20</v>
      </c>
      <c r="F714" s="2">
        <v>69</v>
      </c>
      <c r="G714" s="2">
        <v>78</v>
      </c>
      <c r="H714" s="2">
        <v>66</v>
      </c>
      <c r="I714" s="2">
        <v>73</v>
      </c>
      <c r="J714" s="2">
        <v>79</v>
      </c>
      <c r="K714" s="2">
        <v>79</v>
      </c>
    </row>
    <row r="715" spans="1:11" x14ac:dyDescent="0.35">
      <c r="A715" s="2" t="s">
        <v>666</v>
      </c>
      <c r="B715" s="2" t="s">
        <v>667</v>
      </c>
      <c r="C715" s="2" t="s">
        <v>18</v>
      </c>
      <c r="D715" s="2" t="s">
        <v>568</v>
      </c>
      <c r="E715" s="2" t="s">
        <v>15</v>
      </c>
      <c r="F715" s="2">
        <v>42</v>
      </c>
      <c r="G715" s="2">
        <v>58</v>
      </c>
      <c r="H715" s="2">
        <v>56</v>
      </c>
      <c r="I715" s="2">
        <v>57</v>
      </c>
      <c r="J715" s="2">
        <v>69</v>
      </c>
      <c r="K715" s="2">
        <v>72</v>
      </c>
    </row>
    <row r="716" spans="1:11" x14ac:dyDescent="0.35">
      <c r="A716" s="2" t="s">
        <v>666</v>
      </c>
      <c r="B716" s="2" t="s">
        <v>667</v>
      </c>
      <c r="C716" s="2" t="s">
        <v>18</v>
      </c>
      <c r="D716" s="2" t="s">
        <v>568</v>
      </c>
      <c r="E716" s="2" t="s">
        <v>17</v>
      </c>
      <c r="F716" s="2">
        <v>54</v>
      </c>
      <c r="G716" s="2">
        <v>64</v>
      </c>
      <c r="H716" s="2">
        <v>60</v>
      </c>
      <c r="I716" s="2">
        <v>70</v>
      </c>
      <c r="J716" s="2">
        <v>77</v>
      </c>
      <c r="K716" s="2">
        <v>75</v>
      </c>
    </row>
    <row r="717" spans="1:11" x14ac:dyDescent="0.35">
      <c r="A717" s="2" t="s">
        <v>666</v>
      </c>
      <c r="B717" s="2" t="s">
        <v>668</v>
      </c>
      <c r="C717" s="2" t="s">
        <v>18</v>
      </c>
      <c r="D717" s="2" t="s">
        <v>568</v>
      </c>
      <c r="E717" s="2" t="s">
        <v>20</v>
      </c>
      <c r="F717" s="2">
        <v>68</v>
      </c>
      <c r="G717" s="2">
        <v>71</v>
      </c>
      <c r="H717" s="2">
        <v>83</v>
      </c>
      <c r="I717" s="2">
        <v>87</v>
      </c>
      <c r="J717" s="2">
        <v>82</v>
      </c>
      <c r="K717" s="2">
        <v>72</v>
      </c>
    </row>
    <row r="718" spans="1:11" x14ac:dyDescent="0.35">
      <c r="A718" s="2" t="s">
        <v>669</v>
      </c>
      <c r="B718" s="2" t="s">
        <v>670</v>
      </c>
      <c r="C718" s="2" t="s">
        <v>18</v>
      </c>
      <c r="D718" s="2" t="s">
        <v>568</v>
      </c>
      <c r="E718" s="2" t="s">
        <v>15</v>
      </c>
      <c r="F718" s="2">
        <v>56</v>
      </c>
      <c r="G718" s="2">
        <v>56</v>
      </c>
      <c r="H718" s="2">
        <v>46</v>
      </c>
      <c r="I718" s="2">
        <v>68</v>
      </c>
      <c r="J718" s="2">
        <v>63</v>
      </c>
      <c r="K718" s="2">
        <v>52</v>
      </c>
    </row>
    <row r="719" spans="1:11" x14ac:dyDescent="0.35">
      <c r="A719" s="2" t="s">
        <v>669</v>
      </c>
      <c r="B719" s="2" t="s">
        <v>671</v>
      </c>
      <c r="C719" s="2" t="s">
        <v>18</v>
      </c>
      <c r="D719" s="2" t="s">
        <v>572</v>
      </c>
      <c r="E719" s="2" t="s">
        <v>17</v>
      </c>
      <c r="F719" s="2">
        <v>48</v>
      </c>
      <c r="G719" s="2">
        <v>54</v>
      </c>
      <c r="H719" s="2">
        <v>50</v>
      </c>
      <c r="I719" s="2">
        <v>63</v>
      </c>
      <c r="J719" s="2">
        <v>67</v>
      </c>
      <c r="K719" s="2">
        <v>59</v>
      </c>
    </row>
    <row r="720" spans="1:11" x14ac:dyDescent="0.35">
      <c r="A720" s="2" t="s">
        <v>669</v>
      </c>
      <c r="B720" s="2" t="s">
        <v>672</v>
      </c>
      <c r="C720" s="2" t="s">
        <v>18</v>
      </c>
      <c r="D720" s="2" t="s">
        <v>572</v>
      </c>
      <c r="E720" s="2" t="s">
        <v>20</v>
      </c>
      <c r="F720" s="2">
        <v>64</v>
      </c>
      <c r="G720" s="2">
        <v>57</v>
      </c>
      <c r="H720" s="2">
        <v>66</v>
      </c>
      <c r="I720" s="2">
        <v>62</v>
      </c>
      <c r="J720" s="2">
        <v>67</v>
      </c>
      <c r="K720" s="2">
        <v>72</v>
      </c>
    </row>
    <row r="721" spans="1:11" x14ac:dyDescent="0.35">
      <c r="A721" s="2" t="s">
        <v>673</v>
      </c>
      <c r="B721" s="2" t="s">
        <v>674</v>
      </c>
      <c r="C721" s="2" t="s">
        <v>23</v>
      </c>
      <c r="D721" s="2" t="s">
        <v>568</v>
      </c>
      <c r="E721" s="2" t="s">
        <v>15</v>
      </c>
      <c r="F721" s="2">
        <v>27</v>
      </c>
      <c r="G721" s="2">
        <v>44</v>
      </c>
      <c r="H721" s="2">
        <v>29</v>
      </c>
      <c r="I721" s="2">
        <v>39</v>
      </c>
      <c r="J721" s="2">
        <v>41</v>
      </c>
      <c r="K721" s="2">
        <v>49</v>
      </c>
    </row>
    <row r="722" spans="1:11" x14ac:dyDescent="0.35">
      <c r="A722" s="2" t="s">
        <v>673</v>
      </c>
      <c r="B722" s="2" t="s">
        <v>674</v>
      </c>
      <c r="C722" s="2" t="s">
        <v>23</v>
      </c>
      <c r="D722" s="2" t="s">
        <v>568</v>
      </c>
      <c r="E722" s="2" t="s">
        <v>17</v>
      </c>
      <c r="F722" s="2">
        <v>16</v>
      </c>
      <c r="G722" s="2">
        <v>35</v>
      </c>
      <c r="H722" s="2">
        <v>32</v>
      </c>
      <c r="I722" s="2">
        <v>25</v>
      </c>
      <c r="J722" s="2" t="s">
        <v>675</v>
      </c>
      <c r="K722" s="2">
        <v>38</v>
      </c>
    </row>
    <row r="723" spans="1:11" x14ac:dyDescent="0.35">
      <c r="A723" s="2" t="s">
        <v>673</v>
      </c>
      <c r="B723" s="2" t="s">
        <v>674</v>
      </c>
      <c r="C723" s="2" t="s">
        <v>23</v>
      </c>
      <c r="D723" s="2" t="s">
        <v>568</v>
      </c>
      <c r="E723" s="2" t="s">
        <v>20</v>
      </c>
      <c r="F723" s="2">
        <v>14</v>
      </c>
      <c r="G723" s="2">
        <v>33</v>
      </c>
      <c r="H723" s="2">
        <v>21</v>
      </c>
      <c r="I723" s="2">
        <v>31</v>
      </c>
      <c r="J723" s="2">
        <v>31</v>
      </c>
      <c r="K723" s="2">
        <v>38</v>
      </c>
    </row>
    <row r="724" spans="1:11" x14ac:dyDescent="0.35">
      <c r="A724" s="2" t="s">
        <v>676</v>
      </c>
      <c r="B724" s="2" t="s">
        <v>677</v>
      </c>
      <c r="C724" s="2" t="s">
        <v>23</v>
      </c>
      <c r="D724" s="2" t="s">
        <v>568</v>
      </c>
      <c r="E724" s="2" t="s">
        <v>15</v>
      </c>
      <c r="F724" s="2">
        <v>62</v>
      </c>
      <c r="G724" s="2">
        <v>51</v>
      </c>
      <c r="H724" s="2">
        <v>49</v>
      </c>
      <c r="I724" s="2">
        <v>74</v>
      </c>
      <c r="J724" s="2">
        <v>62</v>
      </c>
      <c r="K724" s="2">
        <v>75</v>
      </c>
    </row>
    <row r="725" spans="1:11" x14ac:dyDescent="0.35">
      <c r="A725" s="2" t="s">
        <v>676</v>
      </c>
      <c r="B725" s="2" t="s">
        <v>677</v>
      </c>
      <c r="C725" s="2" t="s">
        <v>23</v>
      </c>
      <c r="D725" s="2" t="s">
        <v>577</v>
      </c>
      <c r="E725" s="2" t="s">
        <v>17</v>
      </c>
      <c r="F725" s="2">
        <v>61</v>
      </c>
      <c r="G725" s="2">
        <v>66</v>
      </c>
      <c r="H725" s="2">
        <v>63</v>
      </c>
      <c r="I725" s="2">
        <v>71</v>
      </c>
      <c r="J725" s="2">
        <v>61</v>
      </c>
      <c r="K725" s="2">
        <v>72</v>
      </c>
    </row>
    <row r="726" spans="1:11" x14ac:dyDescent="0.35">
      <c r="A726" s="2" t="s">
        <v>676</v>
      </c>
      <c r="B726" s="2" t="s">
        <v>677</v>
      </c>
      <c r="C726" s="2" t="s">
        <v>23</v>
      </c>
      <c r="D726" s="2" t="s">
        <v>568</v>
      </c>
      <c r="E726" s="2" t="s">
        <v>20</v>
      </c>
      <c r="F726" s="2">
        <v>62</v>
      </c>
      <c r="G726" s="2">
        <v>70</v>
      </c>
      <c r="H726" s="2">
        <v>67</v>
      </c>
      <c r="I726" s="2">
        <v>66</v>
      </c>
      <c r="J726" s="2">
        <v>70</v>
      </c>
      <c r="K726" s="2">
        <v>72</v>
      </c>
    </row>
    <row r="727" spans="1:11" x14ac:dyDescent="0.35">
      <c r="A727" s="2" t="s">
        <v>558</v>
      </c>
      <c r="B727" s="2" t="s">
        <v>559</v>
      </c>
      <c r="C727" s="2" t="s">
        <v>23</v>
      </c>
      <c r="D727" s="2" t="s">
        <v>460</v>
      </c>
      <c r="E727" s="2" t="s">
        <v>15</v>
      </c>
      <c r="F727" s="2">
        <v>32</v>
      </c>
      <c r="G727" s="2">
        <v>49</v>
      </c>
      <c r="H727" s="2">
        <v>47</v>
      </c>
      <c r="I727" s="2">
        <v>47</v>
      </c>
      <c r="J727" s="2">
        <v>45</v>
      </c>
      <c r="K727" s="2">
        <v>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E6A59-43F6-4DED-A750-617994A81469}">
  <dimension ref="A1:Z721"/>
  <sheetViews>
    <sheetView tabSelected="1" topLeftCell="N36" zoomScale="78" workbookViewId="0">
      <selection activeCell="Y51" sqref="Y51"/>
    </sheetView>
  </sheetViews>
  <sheetFormatPr defaultRowHeight="14.5" x14ac:dyDescent="0.35"/>
  <cols>
    <col min="1" max="1" width="12.54296875" customWidth="1"/>
    <col min="2" max="2" width="16.1796875" customWidth="1"/>
    <col min="3" max="3" width="11.26953125" customWidth="1"/>
    <col min="4" max="4" width="9.90625" customWidth="1"/>
    <col min="5" max="5" width="12.81640625" customWidth="1"/>
    <col min="6" max="6" width="11.1796875" customWidth="1"/>
    <col min="7" max="7" width="10.7265625" customWidth="1"/>
    <col min="8" max="8" width="18.7265625" customWidth="1"/>
    <col min="9" max="9" width="16" customWidth="1"/>
    <col min="10" max="10" width="19.54296875" customWidth="1"/>
    <col min="11" max="11" width="18.54296875" customWidth="1"/>
    <col min="12" max="12" width="10.7265625" customWidth="1"/>
    <col min="13" max="13" width="13.1796875" style="4" customWidth="1"/>
    <col min="14" max="14" width="11.26953125" customWidth="1"/>
    <col min="15" max="15" width="13" customWidth="1"/>
    <col min="17" max="17" width="16.90625" customWidth="1"/>
    <col min="19" max="19" width="11.1796875" style="4" customWidth="1"/>
    <col min="21" max="21" width="16.90625" customWidth="1"/>
    <col min="23" max="23" width="11.1796875" customWidth="1"/>
    <col min="24" max="24" width="16.81640625" customWidth="1"/>
    <col min="25" max="25" width="10.08984375" customWidth="1"/>
  </cols>
  <sheetData>
    <row r="1" spans="1:23" x14ac:dyDescent="0.35">
      <c r="A1" s="10" t="s">
        <v>0</v>
      </c>
      <c r="B1" s="10" t="s">
        <v>1</v>
      </c>
      <c r="C1" s="1" t="s">
        <v>2</v>
      </c>
      <c r="D1" s="1" t="s">
        <v>3</v>
      </c>
      <c r="E1" s="1" t="s">
        <v>4</v>
      </c>
      <c r="F1" s="1" t="s">
        <v>5</v>
      </c>
      <c r="G1" s="1" t="s">
        <v>6</v>
      </c>
      <c r="H1" s="1" t="s">
        <v>7</v>
      </c>
      <c r="I1" s="1" t="s">
        <v>8</v>
      </c>
      <c r="J1" s="1" t="s">
        <v>9</v>
      </c>
      <c r="K1" s="1" t="s">
        <v>10</v>
      </c>
      <c r="L1" s="1" t="s">
        <v>678</v>
      </c>
      <c r="M1" s="3" t="s">
        <v>680</v>
      </c>
      <c r="N1" s="6" t="s">
        <v>681</v>
      </c>
      <c r="O1" s="5" t="s">
        <v>682</v>
      </c>
    </row>
    <row r="2" spans="1:23" x14ac:dyDescent="0.35">
      <c r="A2" s="2" t="s">
        <v>11</v>
      </c>
      <c r="B2" s="2" t="s">
        <v>12</v>
      </c>
      <c r="C2" s="2" t="s">
        <v>18</v>
      </c>
      <c r="D2" s="2" t="s">
        <v>14</v>
      </c>
      <c r="E2" s="2" t="s">
        <v>15</v>
      </c>
      <c r="F2" s="2">
        <v>74</v>
      </c>
      <c r="G2" s="2">
        <v>69</v>
      </c>
      <c r="H2" s="2">
        <v>69</v>
      </c>
      <c r="I2" s="2">
        <v>84</v>
      </c>
      <c r="J2" s="2">
        <v>91</v>
      </c>
      <c r="K2" s="2">
        <v>87</v>
      </c>
      <c r="L2">
        <f t="shared" ref="L2:L65" si="0">SUM(F2:K2)</f>
        <v>474</v>
      </c>
      <c r="M2" s="4">
        <f t="shared" ref="M2:M65" si="1">AVERAGE(F2:K2)</f>
        <v>79</v>
      </c>
      <c r="N2" t="str" cm="1">
        <f t="array" ref="N2">_xlfn.IFS(M2&gt;=70,"A",M2&gt;=60,"B",M2&gt;=50,"C",M2&gt;=45,"D",M2&gt;=40,"E",TRUE,"F")</f>
        <v>A</v>
      </c>
      <c r="O2">
        <f t="shared" ref="O2:O65" si="2">COUNTIFS($D$2:$D$721,D2,$E$2:$E$721,E2,$M$2:$M$721,"&gt;"&amp;M2)+1</f>
        <v>2</v>
      </c>
    </row>
    <row r="3" spans="1:23" x14ac:dyDescent="0.35">
      <c r="A3" s="2" t="s">
        <v>11</v>
      </c>
      <c r="B3" s="2" t="s">
        <v>12</v>
      </c>
      <c r="C3" s="2" t="s">
        <v>18</v>
      </c>
      <c r="D3" s="2" t="s">
        <v>14</v>
      </c>
      <c r="E3" s="2" t="s">
        <v>17</v>
      </c>
      <c r="F3" s="2">
        <v>79</v>
      </c>
      <c r="G3" s="2">
        <v>88</v>
      </c>
      <c r="H3" s="2">
        <v>82</v>
      </c>
      <c r="I3" s="2">
        <v>73</v>
      </c>
      <c r="J3" s="2">
        <v>80</v>
      </c>
      <c r="K3" s="2">
        <v>87</v>
      </c>
      <c r="L3">
        <f t="shared" si="0"/>
        <v>489</v>
      </c>
      <c r="M3" s="4">
        <f t="shared" si="1"/>
        <v>81.5</v>
      </c>
      <c r="N3" t="str" cm="1">
        <f t="array" ref="N3">_xlfn.IFS(M3&gt;=70,"A",M3&gt;=60,"B",M3&gt;=50,"C",M3&gt;=45,"D",M3&gt;=40,"E",TRUE,"F")</f>
        <v>A</v>
      </c>
      <c r="O3">
        <f t="shared" si="2"/>
        <v>3</v>
      </c>
      <c r="Q3" t="s">
        <v>700</v>
      </c>
      <c r="R3" t="s">
        <v>683</v>
      </c>
      <c r="S3" s="4" t="s">
        <v>686</v>
      </c>
      <c r="U3" t="s">
        <v>700</v>
      </c>
      <c r="V3" t="s">
        <v>683</v>
      </c>
      <c r="W3" t="s">
        <v>686</v>
      </c>
    </row>
    <row r="4" spans="1:23" x14ac:dyDescent="0.35">
      <c r="A4" s="2" t="s">
        <v>11</v>
      </c>
      <c r="B4" s="2" t="s">
        <v>12</v>
      </c>
      <c r="C4" s="2" t="s">
        <v>18</v>
      </c>
      <c r="D4" s="2" t="s">
        <v>14</v>
      </c>
      <c r="E4" s="2" t="s">
        <v>20</v>
      </c>
      <c r="F4" s="2">
        <v>67</v>
      </c>
      <c r="G4" s="2">
        <v>79</v>
      </c>
      <c r="H4" s="2">
        <v>63</v>
      </c>
      <c r="I4" s="2">
        <v>73</v>
      </c>
      <c r="J4" s="2">
        <v>84</v>
      </c>
      <c r="K4" s="2">
        <v>67</v>
      </c>
      <c r="L4">
        <f t="shared" si="0"/>
        <v>433</v>
      </c>
      <c r="M4" s="4">
        <f t="shared" si="1"/>
        <v>72.166666666666671</v>
      </c>
      <c r="N4" t="str" cm="1">
        <f t="array" ref="N4">_xlfn.IFS(M4&gt;=70,"A",M4&gt;=60,"B",M4&gt;=50,"C",M4&gt;=45,"D",M4&gt;=40,"E",TRUE,"F")</f>
        <v>A</v>
      </c>
      <c r="O4">
        <f t="shared" si="2"/>
        <v>8</v>
      </c>
      <c r="Q4" t="str" cm="1">
        <f t="array" ref="Q4">INDEX($B$2:$B$721,MATCH(1,($E$2:$E$721="Third Term")*($M$2:$M$721=S4)*(COUNTIF($Q$3:Q3,$B$2:$B$721)=0),0))</f>
        <v>Sade Umar</v>
      </c>
      <c r="R4" t="str" cm="1">
        <f t="array" ref="R4">INDEX($D$2:$D$721,MATCH(1,($B$2:$B$721=Q4)*($M$2:$M$721=S4)*($E$2:$E$721="Third Term"),0))</f>
        <v>JSS2B</v>
      </c>
      <c r="S4" s="4" cm="1">
        <f t="array" ref="S4">LARGE(_xlfn._xlws.FILTER($M$2:$M$721,$E$2:$E$721="Third Term"), ROWS($S$4:S4))</f>
        <v>96.666666666666671</v>
      </c>
      <c r="U4" t="s">
        <v>75</v>
      </c>
      <c r="V4" t="s">
        <v>20</v>
      </c>
      <c r="W4" s="11">
        <v>88.8</v>
      </c>
    </row>
    <row r="5" spans="1:23" x14ac:dyDescent="0.35">
      <c r="A5" s="2" t="s">
        <v>21</v>
      </c>
      <c r="B5" s="2" t="s">
        <v>26</v>
      </c>
      <c r="C5" s="2" t="s">
        <v>23</v>
      </c>
      <c r="D5" s="2" t="s">
        <v>14</v>
      </c>
      <c r="E5" s="2" t="s">
        <v>15</v>
      </c>
      <c r="F5" s="2">
        <v>37</v>
      </c>
      <c r="G5" s="2">
        <v>51</v>
      </c>
      <c r="H5" s="2">
        <v>37</v>
      </c>
      <c r="I5" s="2">
        <v>54</v>
      </c>
      <c r="J5" s="2">
        <v>49</v>
      </c>
      <c r="K5" s="2">
        <v>55</v>
      </c>
      <c r="L5">
        <f t="shared" si="0"/>
        <v>283</v>
      </c>
      <c r="M5" s="4">
        <f t="shared" si="1"/>
        <v>47.166666666666664</v>
      </c>
      <c r="N5" t="str" cm="1">
        <f t="array" ref="N5">_xlfn.IFS(M5&gt;=70,"A",M5&gt;=60,"B",M5&gt;=50,"C",M5&gt;=45,"D",M5&gt;=40,"E",TRUE,"F")</f>
        <v>D</v>
      </c>
      <c r="O5">
        <f t="shared" si="2"/>
        <v>35</v>
      </c>
      <c r="Q5" t="str" cm="1">
        <f t="array" ref="Q5">INDEX($B$2:$B$721,MATCH(1,($E$2:$E$721="Third Term")*($M$2:$M$721=S5)*(COUNTIF($Q$3:Q4,$B$2:$B$721)=0),0))</f>
        <v>Dare Musa</v>
      </c>
      <c r="R5" t="str" cm="1">
        <f t="array" ref="R5">INDEX($D$2:$D$721,MATCH(1,($B$2:$B$721=Q5)*($M$2:$M$721=S5)*($E$2:$E$721="Third Term"),0))</f>
        <v>JSS2B</v>
      </c>
      <c r="S5" s="4" cm="1">
        <f t="array" ref="S5">LARGE(_xlfn._xlws.FILTER($M$2:$M$721,$E$2:$E$721="Third Term"), ROWS($S$4:S5))</f>
        <v>93.5</v>
      </c>
      <c r="U5" t="s">
        <v>111</v>
      </c>
      <c r="V5" t="s">
        <v>20</v>
      </c>
      <c r="W5" s="12">
        <v>85.833333333333329</v>
      </c>
    </row>
    <row r="6" spans="1:23" x14ac:dyDescent="0.35">
      <c r="A6" s="2" t="s">
        <v>21</v>
      </c>
      <c r="B6" s="2" t="s">
        <v>26</v>
      </c>
      <c r="C6" s="2" t="s">
        <v>23</v>
      </c>
      <c r="D6" s="2" t="s">
        <v>14</v>
      </c>
      <c r="E6" s="2" t="s">
        <v>17</v>
      </c>
      <c r="F6" s="2">
        <v>41</v>
      </c>
      <c r="G6" s="2">
        <v>50</v>
      </c>
      <c r="H6" s="2">
        <v>43</v>
      </c>
      <c r="I6" s="2">
        <v>53</v>
      </c>
      <c r="J6" s="2">
        <v>49</v>
      </c>
      <c r="K6" s="2">
        <v>59</v>
      </c>
      <c r="L6">
        <f t="shared" si="0"/>
        <v>295</v>
      </c>
      <c r="M6" s="4">
        <f t="shared" si="1"/>
        <v>49.166666666666664</v>
      </c>
      <c r="N6" t="str" cm="1">
        <f t="array" ref="N6">_xlfn.IFS(M6&gt;=70,"A",M6&gt;=60,"B",M6&gt;=50,"C",M6&gt;=45,"D",M6&gt;=40,"E",TRUE,"F")</f>
        <v>D</v>
      </c>
      <c r="O6">
        <f t="shared" si="2"/>
        <v>34</v>
      </c>
      <c r="Q6" t="str" cm="1">
        <f t="array" ref="Q6">INDEX($B$2:$B$721,MATCH(1,($E$2:$E$721="Third Term")*($M$2:$M$721=S6)*(COUNTIF($Q$3:Q5,$B$2:$B$721)=0),0))</f>
        <v>Nnamdi Ibrahim</v>
      </c>
      <c r="R6" t="str" cm="1">
        <f t="array" ref="R6">INDEX($D$2:$D$721,MATCH(1,($B$2:$B$721=Q6)*($M$2:$M$721=S6)*($E$2:$E$721="Third Term"),0))</f>
        <v>JSS1B</v>
      </c>
      <c r="S6" s="4" cm="1">
        <f t="array" ref="S6">LARGE(_xlfn._xlws.FILTER($M$2:$M$721,$E$2:$E$721="Third Term"), ROWS($S$4:S6))</f>
        <v>91.5</v>
      </c>
      <c r="U6" t="s">
        <v>86</v>
      </c>
      <c r="V6" t="s">
        <v>20</v>
      </c>
      <c r="W6" s="11">
        <v>84.5</v>
      </c>
    </row>
    <row r="7" spans="1:23" x14ac:dyDescent="0.35">
      <c r="A7" s="2" t="s">
        <v>21</v>
      </c>
      <c r="B7" s="2" t="s">
        <v>26</v>
      </c>
      <c r="C7" s="2" t="s">
        <v>23</v>
      </c>
      <c r="D7" s="2" t="s">
        <v>14</v>
      </c>
      <c r="E7" s="2" t="s">
        <v>20</v>
      </c>
      <c r="F7" s="2">
        <v>53</v>
      </c>
      <c r="G7" s="2">
        <v>49</v>
      </c>
      <c r="H7" s="2">
        <v>46</v>
      </c>
      <c r="I7" s="2">
        <v>42</v>
      </c>
      <c r="J7" s="2">
        <v>56</v>
      </c>
      <c r="K7" s="2">
        <v>48</v>
      </c>
      <c r="L7">
        <f t="shared" si="0"/>
        <v>294</v>
      </c>
      <c r="M7" s="4">
        <f t="shared" si="1"/>
        <v>49</v>
      </c>
      <c r="N7" t="str" cm="1">
        <f t="array" ref="N7">_xlfn.IFS(M7&gt;=70,"A",M7&gt;=60,"B",M7&gt;=50,"C",M7&gt;=45,"D",M7&gt;=40,"E",TRUE,"F")</f>
        <v>D</v>
      </c>
      <c r="O7">
        <f t="shared" si="2"/>
        <v>37</v>
      </c>
      <c r="Q7" t="str" cm="1">
        <f t="array" ref="Q7">INDEX($B$2:$B$721,MATCH(1,($E$2:$E$721="Third Term")*($M$2:$M$721=S7)*(COUNTIF($Q$3:Q6,$B$2:$B$721)=0),0))</f>
        <v>Yetunde Adebayo</v>
      </c>
      <c r="R7" t="str" cm="1">
        <f t="array" ref="R7">INDEX($D$2:$D$721,MATCH(1,($B$2:$B$721=Q7)*($M$2:$M$721=S7)*($E$2:$E$721="Third Term"),0))</f>
        <v>JSS2A</v>
      </c>
      <c r="S7" s="4" cm="1">
        <f t="array" ref="S7">LARGE(_xlfn._xlws.FILTER($M$2:$M$721,$E$2:$E$721="Third Term"), ROWS($S$4:S7))</f>
        <v>91</v>
      </c>
    </row>
    <row r="8" spans="1:23" x14ac:dyDescent="0.35">
      <c r="A8" s="2" t="s">
        <v>28</v>
      </c>
      <c r="B8" s="2" t="s">
        <v>29</v>
      </c>
      <c r="C8" s="2" t="s">
        <v>23</v>
      </c>
      <c r="D8" s="2" t="s">
        <v>14</v>
      </c>
      <c r="E8" s="2" t="s">
        <v>15</v>
      </c>
      <c r="F8" s="2">
        <v>56</v>
      </c>
      <c r="G8" s="2">
        <v>71</v>
      </c>
      <c r="H8" s="2">
        <v>67</v>
      </c>
      <c r="I8" s="2">
        <v>78</v>
      </c>
      <c r="J8" s="2">
        <v>81</v>
      </c>
      <c r="K8" s="2">
        <v>70</v>
      </c>
      <c r="L8">
        <f t="shared" si="0"/>
        <v>423</v>
      </c>
      <c r="M8" s="4">
        <f t="shared" si="1"/>
        <v>70.5</v>
      </c>
      <c r="N8" t="str" cm="1">
        <f t="array" ref="N8">_xlfn.IFS(M8&gt;=70,"A",M8&gt;=60,"B",M8&gt;=50,"C",M8&gt;=45,"D",M8&gt;=40,"E",TRUE,"F")</f>
        <v>A</v>
      </c>
      <c r="O8">
        <f t="shared" si="2"/>
        <v>8</v>
      </c>
      <c r="Q8" t="str" cm="1">
        <f t="array" ref="Q8">INDEX($B$2:$B$721,MATCH(1,($E$2:$E$721="Third Term")*($M$2:$M$721=S8)*(COUNTIF($Q$3:Q7,$B$2:$B$721)=0),0))</f>
        <v>Michael Amadi</v>
      </c>
      <c r="R8" t="str" cm="1">
        <f t="array" ref="R8">INDEX($D$2:$D$721,MATCH(1,($B$2:$B$721=Q8)*($M$2:$M$721=S8)*($E$2:$E$721="Third Term"),0))</f>
        <v>JSS2A</v>
      </c>
      <c r="S8" s="4" cm="1">
        <f t="array" ref="S8">LARGE(_xlfn._xlws.FILTER($M$2:$M$721,$E$2:$E$721="Third Term"), ROWS($S$4:S8))</f>
        <v>90.333333333333329</v>
      </c>
    </row>
    <row r="9" spans="1:23" x14ac:dyDescent="0.35">
      <c r="A9" s="2" t="s">
        <v>28</v>
      </c>
      <c r="B9" s="2" t="s">
        <v>29</v>
      </c>
      <c r="C9" s="2" t="s">
        <v>23</v>
      </c>
      <c r="D9" s="2" t="s">
        <v>14</v>
      </c>
      <c r="E9" s="2" t="s">
        <v>17</v>
      </c>
      <c r="F9" s="2">
        <v>56</v>
      </c>
      <c r="G9" s="2">
        <v>74</v>
      </c>
      <c r="H9" s="2">
        <v>66</v>
      </c>
      <c r="I9" s="2">
        <v>69</v>
      </c>
      <c r="J9" s="2">
        <v>74</v>
      </c>
      <c r="K9" s="2">
        <v>63</v>
      </c>
      <c r="L9">
        <f t="shared" si="0"/>
        <v>402</v>
      </c>
      <c r="M9" s="4">
        <f t="shared" si="1"/>
        <v>67</v>
      </c>
      <c r="N9" t="str" cm="1">
        <f t="array" ref="N9">_xlfn.IFS(M9&gt;=70,"A",M9&gt;=60,"B",M9&gt;=50,"C",M9&gt;=45,"D",M9&gt;=40,"E",TRUE,"F")</f>
        <v>B</v>
      </c>
      <c r="O9">
        <f t="shared" si="2"/>
        <v>13</v>
      </c>
      <c r="Q9" t="str" cm="1">
        <f t="array" ref="Q9">INDEX($B$2:$B$721,MATCH(1,($E$2:$E$721="Third Term")*($M$2:$M$721=S9)*(COUNTIF($Q$3:Q8,$B$2:$B$721)=0),0))</f>
        <v>Tolu Williams</v>
      </c>
      <c r="R9" t="str" cm="1">
        <f t="array" ref="R9">INDEX($D$2:$D$721,MATCH(1,($B$2:$B$721=Q9)*($M$2:$M$721=S9)*($E$2:$E$721="Third Term"),0))</f>
        <v>JSS3B</v>
      </c>
      <c r="S9" s="4" cm="1">
        <f t="array" ref="S9">LARGE(_xlfn._xlws.FILTER($M$2:$M$721,$E$2:$E$721="Third Term"), ROWS($S$4:S9))</f>
        <v>89.5</v>
      </c>
    </row>
    <row r="10" spans="1:23" x14ac:dyDescent="0.35">
      <c r="A10" s="2" t="s">
        <v>28</v>
      </c>
      <c r="B10" s="2" t="s">
        <v>29</v>
      </c>
      <c r="C10" s="2" t="s">
        <v>23</v>
      </c>
      <c r="D10" s="2" t="s">
        <v>14</v>
      </c>
      <c r="E10" s="2" t="s">
        <v>20</v>
      </c>
      <c r="F10" s="2">
        <v>54</v>
      </c>
      <c r="G10" s="2">
        <v>65</v>
      </c>
      <c r="H10" s="2">
        <v>65</v>
      </c>
      <c r="I10" s="2">
        <v>53</v>
      </c>
      <c r="J10" s="2">
        <v>58</v>
      </c>
      <c r="K10" s="2">
        <v>64</v>
      </c>
      <c r="L10">
        <f t="shared" si="0"/>
        <v>359</v>
      </c>
      <c r="M10" s="4">
        <f t="shared" si="1"/>
        <v>59.833333333333336</v>
      </c>
      <c r="N10" t="str" cm="1">
        <f t="array" ref="N10">_xlfn.IFS(M10&gt;=70,"A",M10&gt;=60,"B",M10&gt;=50,"C",M10&gt;=45,"D",M10&gt;=40,"E",TRUE,"F")</f>
        <v>C</v>
      </c>
      <c r="O10">
        <f t="shared" si="2"/>
        <v>26</v>
      </c>
      <c r="Q10" t="str" cm="1">
        <f t="array" ref="Q10">INDEX($B$2:$B$721,MATCH(1,($E$2:$E$721="Third Term")*($M$2:$M$721=S10)*(COUNTIF($Q$3:Q9,$B$2:$B$721)=0),0))</f>
        <v>Daniel Oyewole</v>
      </c>
      <c r="R10" t="str" cm="1">
        <f t="array" ref="R10">INDEX($D$2:$D$721,MATCH(1,($B$2:$B$721=Q10)*($M$2:$M$721=S10)*($E$2:$E$721="Third Term"),0))</f>
        <v>JSS3B</v>
      </c>
      <c r="S10" s="4" cm="1">
        <f t="array" ref="S10">LARGE(_xlfn._xlws.FILTER($M$2:$M$721,$E$2:$E$721="Third Term"), ROWS($S$4:S10))</f>
        <v>89.333333333333329</v>
      </c>
    </row>
    <row r="11" spans="1:23" x14ac:dyDescent="0.35">
      <c r="A11" s="2" t="s">
        <v>31</v>
      </c>
      <c r="B11" s="2" t="s">
        <v>32</v>
      </c>
      <c r="C11" s="2" t="s">
        <v>23</v>
      </c>
      <c r="D11" s="2" t="s">
        <v>14</v>
      </c>
      <c r="E11" s="2" t="s">
        <v>15</v>
      </c>
      <c r="F11" s="2">
        <v>70</v>
      </c>
      <c r="G11" s="2">
        <v>75</v>
      </c>
      <c r="H11" s="2">
        <v>81</v>
      </c>
      <c r="I11" s="2">
        <v>78</v>
      </c>
      <c r="J11" s="2">
        <v>69</v>
      </c>
      <c r="K11" s="2">
        <v>86</v>
      </c>
      <c r="L11">
        <f t="shared" si="0"/>
        <v>459</v>
      </c>
      <c r="M11" s="4">
        <f t="shared" si="1"/>
        <v>76.5</v>
      </c>
      <c r="N11" t="str" cm="1">
        <f t="array" ref="N11">_xlfn.IFS(M11&gt;=70,"A",M11&gt;=60,"B",M11&gt;=50,"C",M11&gt;=45,"D",M11&gt;=40,"E",TRUE,"F")</f>
        <v>A</v>
      </c>
      <c r="O11">
        <f t="shared" si="2"/>
        <v>4</v>
      </c>
      <c r="Q11" t="str" cm="1">
        <f t="array" ref="Q11">INDEX($B$2:$B$721,MATCH(1,($E$2:$E$721="Third Term")*($M$2:$M$721=S11)*(COUNTIF($Q$3:Q10,$B$2:$B$721)=0),0))</f>
        <v>Abdullah Akinola</v>
      </c>
      <c r="R11" t="str" cm="1">
        <f t="array" ref="R11">INDEX($D$2:$D$721,MATCH(1,($B$2:$B$721=Q11)*($M$2:$M$721=S11)*($E$2:$E$721="Third Term"),0))</f>
        <v>JSS1A</v>
      </c>
      <c r="S11" s="4" cm="1">
        <f t="array" ref="S11">LARGE(_xlfn._xlws.FILTER($M$2:$M$721,$E$2:$E$721="Third Term"), ROWS($S$4:S11))</f>
        <v>88.833333333333329</v>
      </c>
      <c r="U11" t="s">
        <v>700</v>
      </c>
      <c r="V11" t="s">
        <v>683</v>
      </c>
      <c r="W11" t="s">
        <v>686</v>
      </c>
    </row>
    <row r="12" spans="1:23" x14ac:dyDescent="0.35">
      <c r="A12" s="2" t="s">
        <v>31</v>
      </c>
      <c r="B12" s="2" t="s">
        <v>32</v>
      </c>
      <c r="C12" s="2" t="s">
        <v>23</v>
      </c>
      <c r="D12" s="2" t="s">
        <v>14</v>
      </c>
      <c r="E12" s="2" t="s">
        <v>17</v>
      </c>
      <c r="F12" s="2">
        <v>68</v>
      </c>
      <c r="G12" s="2">
        <v>72</v>
      </c>
      <c r="H12" s="2">
        <v>64</v>
      </c>
      <c r="I12" s="2">
        <v>87</v>
      </c>
      <c r="J12" s="2">
        <v>66</v>
      </c>
      <c r="K12" s="2">
        <v>71</v>
      </c>
      <c r="L12">
        <f t="shared" si="0"/>
        <v>428</v>
      </c>
      <c r="M12" s="4">
        <f t="shared" si="1"/>
        <v>71.333333333333329</v>
      </c>
      <c r="N12" t="str" cm="1">
        <f t="array" ref="N12">_xlfn.IFS(M12&gt;=70,"A",M12&gt;=60,"B",M12&gt;=50,"C",M12&gt;=45,"D",M12&gt;=40,"E",TRUE,"F")</f>
        <v>A</v>
      </c>
      <c r="O12">
        <f t="shared" si="2"/>
        <v>8</v>
      </c>
      <c r="Q12" t="str" cm="1">
        <f t="array" ref="Q12">INDEX($B$2:$B$721,MATCH(1,($E$2:$E$721="Third Term")*($M$2:$M$721=S12)*(COUNTIF($Q$3:Q11,$B$2:$B$721)=0),0))</f>
        <v>Peter Nwankwo</v>
      </c>
      <c r="R12" t="str" cm="1">
        <f t="array" ref="R12">INDEX($D$2:$D$721,MATCH(1,($B$2:$B$721=Q12)*($M$2:$M$721=S12)*($E$2:$E$721="Third Term"),0))</f>
        <v>JSS2A</v>
      </c>
      <c r="S12" s="4" cm="1">
        <f t="array" ref="S12">LARGE(_xlfn._xlws.FILTER($M$2:$M$721,$E$2:$E$721="Third Term"), ROWS($S$4:S12))</f>
        <v>88.666666666666671</v>
      </c>
      <c r="U12" t="s">
        <v>703</v>
      </c>
      <c r="V12" t="s">
        <v>20</v>
      </c>
      <c r="W12" s="4">
        <v>91.5</v>
      </c>
    </row>
    <row r="13" spans="1:23" x14ac:dyDescent="0.35">
      <c r="A13" s="2" t="s">
        <v>31</v>
      </c>
      <c r="B13" s="2" t="s">
        <v>32</v>
      </c>
      <c r="C13" s="2" t="s">
        <v>23</v>
      </c>
      <c r="D13" s="2" t="s">
        <v>14</v>
      </c>
      <c r="E13" s="2" t="s">
        <v>20</v>
      </c>
      <c r="F13" s="2">
        <v>69</v>
      </c>
      <c r="G13" s="2">
        <v>85</v>
      </c>
      <c r="H13" s="2">
        <v>84</v>
      </c>
      <c r="I13" s="2">
        <v>72</v>
      </c>
      <c r="J13" s="2">
        <v>79</v>
      </c>
      <c r="K13" s="2">
        <v>72</v>
      </c>
      <c r="L13">
        <f t="shared" si="0"/>
        <v>461</v>
      </c>
      <c r="M13" s="4">
        <f t="shared" si="1"/>
        <v>76.833333333333329</v>
      </c>
      <c r="N13" t="str" cm="1">
        <f t="array" ref="N13">_xlfn.IFS(M13&gt;=70,"A",M13&gt;=60,"B",M13&gt;=50,"C",M13&gt;=45,"D",M13&gt;=40,"E",TRUE,"F")</f>
        <v>A</v>
      </c>
      <c r="O13">
        <f t="shared" si="2"/>
        <v>4</v>
      </c>
      <c r="Q13" t="str" cm="1">
        <f t="array" ref="Q13">INDEX($B$2:$B$721,MATCH(1,($E$2:$E$721="Third Term")*($M$2:$M$721=S13)*(COUNTIF($Q$3:Q12,$B$2:$B$721)=0),0))</f>
        <v>Ifeoma Lawal</v>
      </c>
      <c r="R13" t="str" cm="1">
        <f t="array" ref="R13">INDEX($D$2:$D$721,MATCH(1,($B$2:$B$721=Q13)*($M$2:$M$721=S13)*($E$2:$E$721="Third Term"),0))</f>
        <v>JSS3A</v>
      </c>
      <c r="S13" s="4" cm="1">
        <f t="array" ref="S13">LARGE(_xlfn._xlws.FILTER($M$2:$M$721,$E$2:$E$721="Third Term"), ROWS($S$4:S13))</f>
        <v>88.666666666666671</v>
      </c>
      <c r="U13" t="s">
        <v>191</v>
      </c>
      <c r="V13" t="s">
        <v>20</v>
      </c>
      <c r="W13" s="4">
        <v>84.2</v>
      </c>
    </row>
    <row r="14" spans="1:23" x14ac:dyDescent="0.35">
      <c r="A14" s="2" t="s">
        <v>35</v>
      </c>
      <c r="B14" s="2" t="s">
        <v>36</v>
      </c>
      <c r="C14" s="2" t="s">
        <v>18</v>
      </c>
      <c r="D14" s="2" t="s">
        <v>14</v>
      </c>
      <c r="E14" s="2" t="s">
        <v>15</v>
      </c>
      <c r="F14" s="2">
        <v>62</v>
      </c>
      <c r="G14" s="2">
        <v>50</v>
      </c>
      <c r="H14" s="2">
        <v>58</v>
      </c>
      <c r="I14" s="2">
        <v>71</v>
      </c>
      <c r="J14" s="2">
        <v>63</v>
      </c>
      <c r="K14" s="2">
        <v>77</v>
      </c>
      <c r="L14">
        <f t="shared" si="0"/>
        <v>381</v>
      </c>
      <c r="M14" s="4">
        <f t="shared" si="1"/>
        <v>63.5</v>
      </c>
      <c r="N14" t="str" cm="1">
        <f t="array" ref="N14">_xlfn.IFS(M14&gt;=70,"A",M14&gt;=60,"B",M14&gt;=50,"C",M14&gt;=45,"D",M14&gt;=40,"E",TRUE,"F")</f>
        <v>B</v>
      </c>
      <c r="O14">
        <f t="shared" si="2"/>
        <v>13</v>
      </c>
      <c r="U14" t="s">
        <v>196</v>
      </c>
      <c r="V14" t="s">
        <v>20</v>
      </c>
      <c r="W14" s="4">
        <v>82.5</v>
      </c>
    </row>
    <row r="15" spans="1:23" x14ac:dyDescent="0.35">
      <c r="A15" s="2" t="s">
        <v>35</v>
      </c>
      <c r="B15" s="2" t="s">
        <v>36</v>
      </c>
      <c r="C15" s="2" t="s">
        <v>18</v>
      </c>
      <c r="D15" s="2" t="s">
        <v>14</v>
      </c>
      <c r="E15" s="2" t="s">
        <v>17</v>
      </c>
      <c r="F15" s="2">
        <v>50</v>
      </c>
      <c r="G15" s="2">
        <v>65</v>
      </c>
      <c r="H15" s="2">
        <v>66</v>
      </c>
      <c r="I15" s="2">
        <v>64</v>
      </c>
      <c r="J15" s="2">
        <v>76</v>
      </c>
      <c r="K15" s="2">
        <v>72</v>
      </c>
      <c r="L15">
        <f t="shared" si="0"/>
        <v>393</v>
      </c>
      <c r="M15" s="4">
        <f t="shared" si="1"/>
        <v>65.5</v>
      </c>
      <c r="N15" t="str" cm="1">
        <f t="array" ref="N15">_xlfn.IFS(M15&gt;=70,"A",M15&gt;=60,"B",M15&gt;=50,"C",M15&gt;=45,"D",M15&gt;=40,"E",TRUE,"F")</f>
        <v>B</v>
      </c>
      <c r="O15">
        <f t="shared" si="2"/>
        <v>17</v>
      </c>
      <c r="W15" s="4"/>
    </row>
    <row r="16" spans="1:23" x14ac:dyDescent="0.35">
      <c r="A16" s="2" t="s">
        <v>35</v>
      </c>
      <c r="B16" s="2" t="s">
        <v>36</v>
      </c>
      <c r="C16" s="2" t="s">
        <v>18</v>
      </c>
      <c r="D16" s="2" t="s">
        <v>14</v>
      </c>
      <c r="E16" s="2" t="s">
        <v>20</v>
      </c>
      <c r="F16" s="2">
        <v>46</v>
      </c>
      <c r="G16" s="2">
        <v>91</v>
      </c>
      <c r="H16" s="2">
        <v>66</v>
      </c>
      <c r="I16" s="2">
        <v>67</v>
      </c>
      <c r="J16" s="2">
        <v>57</v>
      </c>
      <c r="K16" s="2">
        <v>70</v>
      </c>
      <c r="L16">
        <f t="shared" si="0"/>
        <v>397</v>
      </c>
      <c r="M16" s="4">
        <f t="shared" si="1"/>
        <v>66.166666666666671</v>
      </c>
      <c r="N16" t="str" cm="1">
        <f t="array" ref="N16">_xlfn.IFS(M16&gt;=70,"A",M16&gt;=60,"B",M16&gt;=50,"C",M16&gt;=45,"D",M16&gt;=40,"E",TRUE,"F")</f>
        <v>B</v>
      </c>
      <c r="O16">
        <f t="shared" si="2"/>
        <v>17</v>
      </c>
      <c r="W16" s="4"/>
    </row>
    <row r="17" spans="1:26" x14ac:dyDescent="0.35">
      <c r="A17" s="2" t="s">
        <v>39</v>
      </c>
      <c r="B17" s="2" t="s">
        <v>40</v>
      </c>
      <c r="C17" s="2" t="s">
        <v>18</v>
      </c>
      <c r="D17" s="2" t="s">
        <v>14</v>
      </c>
      <c r="E17" s="2" t="s">
        <v>15</v>
      </c>
      <c r="F17" s="2">
        <v>65</v>
      </c>
      <c r="G17" s="2">
        <v>79</v>
      </c>
      <c r="H17" s="2">
        <v>75</v>
      </c>
      <c r="I17" s="2">
        <v>91</v>
      </c>
      <c r="J17" s="2">
        <v>80</v>
      </c>
      <c r="K17" s="2">
        <v>84</v>
      </c>
      <c r="L17">
        <f t="shared" si="0"/>
        <v>474</v>
      </c>
      <c r="M17" s="4">
        <f t="shared" si="1"/>
        <v>79</v>
      </c>
      <c r="N17" t="str" cm="1">
        <f t="array" ref="N17">_xlfn.IFS(M17&gt;=70,"A",M17&gt;=60,"B",M17&gt;=50,"C",M17&gt;=45,"D",M17&gt;=40,"E",TRUE,"F")</f>
        <v>A</v>
      </c>
      <c r="O17">
        <f t="shared" si="2"/>
        <v>2</v>
      </c>
      <c r="W17" s="4"/>
    </row>
    <row r="18" spans="1:26" x14ac:dyDescent="0.35">
      <c r="A18" s="2" t="s">
        <v>39</v>
      </c>
      <c r="B18" s="2" t="s">
        <v>40</v>
      </c>
      <c r="C18" s="2" t="s">
        <v>18</v>
      </c>
      <c r="D18" s="2" t="s">
        <v>14</v>
      </c>
      <c r="E18" s="2" t="s">
        <v>17</v>
      </c>
      <c r="F18" s="2">
        <v>66</v>
      </c>
      <c r="G18" s="2">
        <v>68</v>
      </c>
      <c r="H18" s="2">
        <v>66</v>
      </c>
      <c r="I18" s="2">
        <v>80</v>
      </c>
      <c r="J18" s="2">
        <v>79</v>
      </c>
      <c r="K18" s="2">
        <v>71</v>
      </c>
      <c r="L18">
        <f t="shared" si="0"/>
        <v>430</v>
      </c>
      <c r="M18" s="4">
        <f t="shared" si="1"/>
        <v>71.666666666666671</v>
      </c>
      <c r="N18" t="str" cm="1">
        <f t="array" ref="N18">_xlfn.IFS(M18&gt;=70,"A",M18&gt;=60,"B",M18&gt;=50,"C",M18&gt;=45,"D",M18&gt;=40,"E",TRUE,"F")</f>
        <v>A</v>
      </c>
      <c r="O18">
        <f t="shared" si="2"/>
        <v>7</v>
      </c>
      <c r="W18" s="4"/>
    </row>
    <row r="19" spans="1:26" x14ac:dyDescent="0.35">
      <c r="A19" s="2" t="s">
        <v>39</v>
      </c>
      <c r="B19" s="2" t="s">
        <v>40</v>
      </c>
      <c r="C19" s="2" t="s">
        <v>18</v>
      </c>
      <c r="D19" s="2" t="s">
        <v>14</v>
      </c>
      <c r="E19" s="2" t="s">
        <v>20</v>
      </c>
      <c r="F19" s="2">
        <v>50</v>
      </c>
      <c r="G19" s="2"/>
      <c r="H19" s="2">
        <v>70</v>
      </c>
      <c r="I19" s="2">
        <v>67</v>
      </c>
      <c r="J19" s="2">
        <v>80</v>
      </c>
      <c r="K19" s="2">
        <v>65</v>
      </c>
      <c r="L19">
        <f t="shared" si="0"/>
        <v>332</v>
      </c>
      <c r="M19" s="4">
        <f t="shared" si="1"/>
        <v>66.400000000000006</v>
      </c>
      <c r="N19" t="str" cm="1">
        <f t="array" ref="N19">_xlfn.IFS(M19&gt;=70,"A",M19&gt;=60,"B",M19&gt;=50,"C",M19&gt;=45,"D",M19&gt;=40,"E",TRUE,"F")</f>
        <v>B</v>
      </c>
      <c r="O19">
        <f t="shared" si="2"/>
        <v>15</v>
      </c>
      <c r="Q19" t="s">
        <v>700</v>
      </c>
      <c r="R19" t="s">
        <v>683</v>
      </c>
      <c r="S19" s="4" t="s">
        <v>686</v>
      </c>
      <c r="U19" t="s">
        <v>700</v>
      </c>
      <c r="V19" t="s">
        <v>683</v>
      </c>
      <c r="W19" s="4" t="s">
        <v>686</v>
      </c>
    </row>
    <row r="20" spans="1:26" x14ac:dyDescent="0.35">
      <c r="A20" s="2" t="s">
        <v>41</v>
      </c>
      <c r="B20" s="2" t="s">
        <v>42</v>
      </c>
      <c r="C20" s="2" t="s">
        <v>23</v>
      </c>
      <c r="D20" s="2" t="s">
        <v>14</v>
      </c>
      <c r="E20" s="2" t="s">
        <v>15</v>
      </c>
      <c r="F20" s="2">
        <v>48</v>
      </c>
      <c r="G20" s="2">
        <v>36</v>
      </c>
      <c r="H20" s="2">
        <v>47</v>
      </c>
      <c r="I20" s="2">
        <v>54</v>
      </c>
      <c r="J20" s="2">
        <v>61</v>
      </c>
      <c r="K20" s="2">
        <v>71</v>
      </c>
      <c r="L20">
        <f t="shared" si="0"/>
        <v>317</v>
      </c>
      <c r="M20" s="4">
        <f t="shared" si="1"/>
        <v>52.833333333333336</v>
      </c>
      <c r="N20" t="str" cm="1">
        <f t="array" ref="N20">_xlfn.IFS(M20&gt;=70,"A",M20&gt;=60,"B",M20&gt;=50,"C",M20&gt;=45,"D",M20&gt;=40,"E",TRUE,"F")</f>
        <v>C</v>
      </c>
      <c r="O20">
        <f t="shared" si="2"/>
        <v>29</v>
      </c>
      <c r="Q20" t="s">
        <v>290</v>
      </c>
      <c r="R20" t="s">
        <v>20</v>
      </c>
      <c r="S20" s="4">
        <v>91</v>
      </c>
      <c r="U20" t="s">
        <v>533</v>
      </c>
      <c r="V20" t="s">
        <v>20</v>
      </c>
      <c r="W20" s="4">
        <v>88.7</v>
      </c>
    </row>
    <row r="21" spans="1:26" x14ac:dyDescent="0.35">
      <c r="A21" s="2" t="s">
        <v>41</v>
      </c>
      <c r="B21" s="2" t="s">
        <v>42</v>
      </c>
      <c r="C21" s="2" t="s">
        <v>23</v>
      </c>
      <c r="D21" s="2" t="s">
        <v>14</v>
      </c>
      <c r="E21" s="2" t="s">
        <v>17</v>
      </c>
      <c r="F21" s="2">
        <v>48</v>
      </c>
      <c r="G21" s="2">
        <v>64</v>
      </c>
      <c r="H21" s="2">
        <v>56</v>
      </c>
      <c r="I21" s="2">
        <v>64</v>
      </c>
      <c r="J21" s="2">
        <v>55</v>
      </c>
      <c r="K21" s="2">
        <v>69</v>
      </c>
      <c r="L21">
        <f t="shared" si="0"/>
        <v>356</v>
      </c>
      <c r="M21" s="4">
        <f t="shared" si="1"/>
        <v>59.333333333333336</v>
      </c>
      <c r="N21" t="str" cm="1">
        <f t="array" ref="N21">_xlfn.IFS(M21&gt;=70,"A",M21&gt;=60,"B",M21&gt;=50,"C",M21&gt;=45,"D",M21&gt;=40,"E",TRUE,"F")</f>
        <v>C</v>
      </c>
      <c r="O21">
        <f t="shared" si="2"/>
        <v>23</v>
      </c>
      <c r="Q21" t="s">
        <v>704</v>
      </c>
      <c r="R21" t="s">
        <v>20</v>
      </c>
      <c r="S21" s="4">
        <v>90.3</v>
      </c>
      <c r="U21" t="s">
        <v>531</v>
      </c>
      <c r="V21" t="s">
        <v>20</v>
      </c>
      <c r="W21" s="4">
        <v>85.2</v>
      </c>
    </row>
    <row r="22" spans="1:26" x14ac:dyDescent="0.35">
      <c r="A22" s="2" t="s">
        <v>41</v>
      </c>
      <c r="B22" s="2" t="s">
        <v>42</v>
      </c>
      <c r="C22" s="2" t="s">
        <v>23</v>
      </c>
      <c r="D22" s="2" t="s">
        <v>14</v>
      </c>
      <c r="E22" s="2" t="s">
        <v>20</v>
      </c>
      <c r="F22" s="2">
        <v>41</v>
      </c>
      <c r="G22" s="2">
        <v>58</v>
      </c>
      <c r="H22" s="2">
        <v>46</v>
      </c>
      <c r="I22" s="2">
        <v>54</v>
      </c>
      <c r="J22" s="2">
        <v>48</v>
      </c>
      <c r="K22" s="2">
        <v>57</v>
      </c>
      <c r="L22">
        <f t="shared" si="0"/>
        <v>304</v>
      </c>
      <c r="M22" s="4">
        <f t="shared" si="1"/>
        <v>50.666666666666664</v>
      </c>
      <c r="N22" t="str" cm="1">
        <f t="array" ref="N22">_xlfn.IFS(M22&gt;=70,"A",M22&gt;=60,"B",M22&gt;=50,"C",M22&gt;=45,"D",M22&gt;=40,"E",TRUE,"F")</f>
        <v>C</v>
      </c>
      <c r="O22">
        <f t="shared" si="2"/>
        <v>35</v>
      </c>
      <c r="Q22" t="s">
        <v>325</v>
      </c>
      <c r="R22" t="s">
        <v>20</v>
      </c>
      <c r="S22" s="4">
        <v>88.7</v>
      </c>
      <c r="U22" t="s">
        <v>467</v>
      </c>
      <c r="V22" t="s">
        <v>20</v>
      </c>
      <c r="W22" s="4">
        <v>82</v>
      </c>
      <c r="Z22" s="13"/>
    </row>
    <row r="23" spans="1:26" x14ac:dyDescent="0.35">
      <c r="A23" s="2" t="s">
        <v>43</v>
      </c>
      <c r="B23" s="2" t="s">
        <v>45</v>
      </c>
      <c r="C23" s="2" t="s">
        <v>23</v>
      </c>
      <c r="D23" s="2" t="s">
        <v>14</v>
      </c>
      <c r="E23" s="2" t="s">
        <v>15</v>
      </c>
      <c r="F23" s="2">
        <v>67</v>
      </c>
      <c r="G23" s="2">
        <v>70</v>
      </c>
      <c r="H23" s="2">
        <v>59</v>
      </c>
      <c r="I23" s="2">
        <v>84</v>
      </c>
      <c r="J23" s="2">
        <v>77</v>
      </c>
      <c r="K23" s="2">
        <v>84</v>
      </c>
      <c r="L23">
        <f t="shared" si="0"/>
        <v>441</v>
      </c>
      <c r="M23" s="4">
        <f t="shared" si="1"/>
        <v>73.5</v>
      </c>
      <c r="N23" t="str" cm="1">
        <f t="array" ref="N23">_xlfn.IFS(M23&gt;=70,"A",M23&gt;=60,"B",M23&gt;=50,"C",M23&gt;=45,"D",M23&gt;=40,"E",TRUE,"F")</f>
        <v>A</v>
      </c>
      <c r="O23">
        <f t="shared" si="2"/>
        <v>7</v>
      </c>
      <c r="Z23" s="14"/>
    </row>
    <row r="24" spans="1:26" x14ac:dyDescent="0.35">
      <c r="A24" s="2" t="s">
        <v>43</v>
      </c>
      <c r="B24" s="2" t="s">
        <v>45</v>
      </c>
      <c r="C24" s="2" t="s">
        <v>23</v>
      </c>
      <c r="D24" s="2" t="s">
        <v>14</v>
      </c>
      <c r="E24" s="2" t="s">
        <v>17</v>
      </c>
      <c r="F24" s="2">
        <v>68</v>
      </c>
      <c r="G24" s="2">
        <v>64</v>
      </c>
      <c r="H24" s="2">
        <v>53</v>
      </c>
      <c r="I24" s="2">
        <v>65</v>
      </c>
      <c r="J24" s="2">
        <v>81</v>
      </c>
      <c r="K24" s="2">
        <v>67</v>
      </c>
      <c r="L24">
        <f t="shared" si="0"/>
        <v>398</v>
      </c>
      <c r="M24" s="4">
        <f t="shared" si="1"/>
        <v>66.333333333333329</v>
      </c>
      <c r="N24" t="str" cm="1">
        <f t="array" ref="N24">_xlfn.IFS(M24&gt;=70,"A",M24&gt;=60,"B",M24&gt;=50,"C",M24&gt;=45,"D",M24&gt;=40,"E",TRUE,"F")</f>
        <v>B</v>
      </c>
      <c r="O24">
        <f t="shared" si="2"/>
        <v>14</v>
      </c>
      <c r="Z24" s="13"/>
    </row>
    <row r="25" spans="1:26" x14ac:dyDescent="0.35">
      <c r="A25" s="2" t="s">
        <v>43</v>
      </c>
      <c r="B25" s="2" t="s">
        <v>45</v>
      </c>
      <c r="C25" s="2" t="s">
        <v>23</v>
      </c>
      <c r="D25" s="2" t="s">
        <v>14</v>
      </c>
      <c r="E25" s="2" t="s">
        <v>20</v>
      </c>
      <c r="F25" s="2">
        <v>67</v>
      </c>
      <c r="G25" s="2">
        <v>63</v>
      </c>
      <c r="H25" s="2">
        <v>68</v>
      </c>
      <c r="I25" s="2">
        <v>57</v>
      </c>
      <c r="J25" s="2">
        <v>79</v>
      </c>
      <c r="K25" s="2">
        <v>73</v>
      </c>
      <c r="L25">
        <f t="shared" si="0"/>
        <v>407</v>
      </c>
      <c r="M25" s="4">
        <f t="shared" si="1"/>
        <v>67.833333333333329</v>
      </c>
      <c r="N25" t="str" cm="1">
        <f t="array" ref="N25">_xlfn.IFS(M25&gt;=70,"A",M25&gt;=60,"B",M25&gt;=50,"C",M25&gt;=45,"D",M25&gt;=40,"E",TRUE,"F")</f>
        <v>B</v>
      </c>
      <c r="O25">
        <f t="shared" si="2"/>
        <v>14</v>
      </c>
    </row>
    <row r="26" spans="1:26" x14ac:dyDescent="0.35">
      <c r="A26" s="2" t="s">
        <v>46</v>
      </c>
      <c r="B26" s="2" t="s">
        <v>47</v>
      </c>
      <c r="C26" s="2" t="s">
        <v>23</v>
      </c>
      <c r="D26" s="2" t="s">
        <v>14</v>
      </c>
      <c r="E26" s="2" t="s">
        <v>15</v>
      </c>
      <c r="F26" s="2">
        <v>55</v>
      </c>
      <c r="G26" s="2">
        <v>56</v>
      </c>
      <c r="H26" s="2">
        <v>59</v>
      </c>
      <c r="I26" s="2">
        <v>57</v>
      </c>
      <c r="J26" s="2">
        <v>64</v>
      </c>
      <c r="K26" s="2">
        <v>50</v>
      </c>
      <c r="L26">
        <f t="shared" si="0"/>
        <v>341</v>
      </c>
      <c r="M26" s="4">
        <f t="shared" si="1"/>
        <v>56.833333333333336</v>
      </c>
      <c r="N26" t="str" cm="1">
        <f t="array" ref="N26">_xlfn.IFS(M26&gt;=70,"A",M26&gt;=60,"B",M26&gt;=50,"C",M26&gt;=45,"D",M26&gt;=40,"E",TRUE,"F")</f>
        <v>C</v>
      </c>
      <c r="O26">
        <f t="shared" si="2"/>
        <v>24</v>
      </c>
    </row>
    <row r="27" spans="1:26" x14ac:dyDescent="0.35">
      <c r="A27" s="2" t="s">
        <v>46</v>
      </c>
      <c r="B27" s="2" t="s">
        <v>47</v>
      </c>
      <c r="C27" s="2" t="s">
        <v>23</v>
      </c>
      <c r="D27" s="2" t="s">
        <v>14</v>
      </c>
      <c r="E27" s="2" t="s">
        <v>17</v>
      </c>
      <c r="F27" s="2">
        <v>40</v>
      </c>
      <c r="G27" s="2">
        <v>59</v>
      </c>
      <c r="H27" s="2">
        <v>52</v>
      </c>
      <c r="I27" s="2">
        <v>55</v>
      </c>
      <c r="J27" s="2">
        <v>57</v>
      </c>
      <c r="K27" s="2">
        <v>63</v>
      </c>
      <c r="L27">
        <f t="shared" si="0"/>
        <v>326</v>
      </c>
      <c r="M27" s="4">
        <f t="shared" si="1"/>
        <v>54.333333333333336</v>
      </c>
      <c r="N27" t="str" cm="1">
        <f t="array" ref="N27">_xlfn.IFS(M27&gt;=70,"A",M27&gt;=60,"B",M27&gt;=50,"C",M27&gt;=45,"D",M27&gt;=40,"E",TRUE,"F")</f>
        <v>C</v>
      </c>
      <c r="O27">
        <f t="shared" si="2"/>
        <v>28</v>
      </c>
    </row>
    <row r="28" spans="1:26" x14ac:dyDescent="0.35">
      <c r="A28" s="2" t="s">
        <v>46</v>
      </c>
      <c r="B28" s="2" t="s">
        <v>47</v>
      </c>
      <c r="C28" s="2" t="s">
        <v>23</v>
      </c>
      <c r="D28" s="2" t="s">
        <v>14</v>
      </c>
      <c r="E28" s="2" t="s">
        <v>20</v>
      </c>
      <c r="F28" s="2">
        <v>43</v>
      </c>
      <c r="G28" s="2">
        <v>56</v>
      </c>
      <c r="H28" s="2">
        <v>44</v>
      </c>
      <c r="I28" s="2">
        <v>53</v>
      </c>
      <c r="J28" s="2">
        <v>64</v>
      </c>
      <c r="K28" s="2">
        <v>66</v>
      </c>
      <c r="L28">
        <f t="shared" si="0"/>
        <v>326</v>
      </c>
      <c r="M28" s="4">
        <f t="shared" si="1"/>
        <v>54.333333333333336</v>
      </c>
      <c r="N28" t="str" cm="1">
        <f t="array" ref="N28">_xlfn.IFS(M28&gt;=70,"A",M28&gt;=60,"B",M28&gt;=50,"C",M28&gt;=45,"D",M28&gt;=40,"E",TRUE,"F")</f>
        <v>C</v>
      </c>
      <c r="O28">
        <f t="shared" si="2"/>
        <v>31</v>
      </c>
      <c r="Q28" t="s">
        <v>700</v>
      </c>
      <c r="R28" t="s">
        <v>683</v>
      </c>
      <c r="S28" s="4" t="s">
        <v>686</v>
      </c>
      <c r="U28" t="s">
        <v>700</v>
      </c>
      <c r="V28" t="s">
        <v>683</v>
      </c>
      <c r="W28" t="s">
        <v>686</v>
      </c>
      <c r="X28" s="15"/>
    </row>
    <row r="29" spans="1:26" x14ac:dyDescent="0.35">
      <c r="A29" s="2" t="s">
        <v>49</v>
      </c>
      <c r="B29" s="2" t="s">
        <v>50</v>
      </c>
      <c r="C29" s="2" t="s">
        <v>18</v>
      </c>
      <c r="D29" s="2" t="s">
        <v>14</v>
      </c>
      <c r="E29" s="2" t="s">
        <v>15</v>
      </c>
      <c r="F29" s="2">
        <v>44</v>
      </c>
      <c r="G29" s="2">
        <v>63</v>
      </c>
      <c r="H29" s="2">
        <v>48</v>
      </c>
      <c r="I29" s="2">
        <v>66</v>
      </c>
      <c r="J29" s="2">
        <v>48</v>
      </c>
      <c r="K29" s="2">
        <v>56</v>
      </c>
      <c r="L29">
        <f t="shared" si="0"/>
        <v>325</v>
      </c>
      <c r="M29" s="4">
        <f t="shared" si="1"/>
        <v>54.166666666666664</v>
      </c>
      <c r="N29" t="str" cm="1">
        <f t="array" ref="N29">_xlfn.IFS(M29&gt;=70,"A",M29&gt;=60,"B",M29&gt;=50,"C",M29&gt;=45,"D",M29&gt;=40,"E",TRUE,"F")</f>
        <v>C</v>
      </c>
      <c r="O29">
        <f t="shared" si="2"/>
        <v>27</v>
      </c>
      <c r="Q29" t="s">
        <v>451</v>
      </c>
      <c r="R29" s="4" t="s">
        <v>20</v>
      </c>
      <c r="S29" s="4">
        <v>96.7</v>
      </c>
      <c r="U29" t="s">
        <v>602</v>
      </c>
      <c r="V29" t="s">
        <v>20</v>
      </c>
      <c r="W29" s="4">
        <v>89.5</v>
      </c>
    </row>
    <row r="30" spans="1:26" x14ac:dyDescent="0.35">
      <c r="A30" s="2" t="s">
        <v>49</v>
      </c>
      <c r="B30" s="2" t="s">
        <v>50</v>
      </c>
      <c r="C30" s="2" t="s">
        <v>18</v>
      </c>
      <c r="D30" s="2" t="s">
        <v>14</v>
      </c>
      <c r="E30" s="2" t="s">
        <v>17</v>
      </c>
      <c r="F30" s="2">
        <v>52</v>
      </c>
      <c r="G30" s="2">
        <v>60</v>
      </c>
      <c r="H30" s="2">
        <v>70</v>
      </c>
      <c r="I30" s="2">
        <v>71</v>
      </c>
      <c r="J30" s="2">
        <v>77</v>
      </c>
      <c r="K30" s="2">
        <v>76</v>
      </c>
      <c r="L30">
        <f t="shared" si="0"/>
        <v>406</v>
      </c>
      <c r="M30" s="4">
        <f t="shared" si="1"/>
        <v>67.666666666666671</v>
      </c>
      <c r="N30" t="str" cm="1">
        <f t="array" ref="N30">_xlfn.IFS(M30&gt;=70,"A",M30&gt;=60,"B",M30&gt;=50,"C",M30&gt;=45,"D",M30&gt;=40,"E",TRUE,"F")</f>
        <v>B</v>
      </c>
      <c r="O30">
        <f t="shared" si="2"/>
        <v>11</v>
      </c>
      <c r="Q30" t="s">
        <v>374</v>
      </c>
      <c r="R30" s="4" t="s">
        <v>20</v>
      </c>
      <c r="S30" s="4">
        <v>93.5</v>
      </c>
      <c r="U30" t="s">
        <v>620</v>
      </c>
      <c r="V30" t="s">
        <v>20</v>
      </c>
      <c r="W30" s="4">
        <v>89.3</v>
      </c>
    </row>
    <row r="31" spans="1:26" x14ac:dyDescent="0.35">
      <c r="A31" s="2" t="s">
        <v>49</v>
      </c>
      <c r="B31" s="2" t="s">
        <v>50</v>
      </c>
      <c r="C31" s="2" t="s">
        <v>18</v>
      </c>
      <c r="D31" s="23" t="s">
        <v>14</v>
      </c>
      <c r="E31" s="2" t="s">
        <v>20</v>
      </c>
      <c r="F31" s="2">
        <v>58</v>
      </c>
      <c r="G31" s="2">
        <v>64</v>
      </c>
      <c r="H31" s="2">
        <v>71</v>
      </c>
      <c r="I31" s="2">
        <v>69</v>
      </c>
      <c r="J31" s="2">
        <v>68</v>
      </c>
      <c r="K31" s="2">
        <v>62</v>
      </c>
      <c r="L31">
        <f t="shared" si="0"/>
        <v>392</v>
      </c>
      <c r="M31" s="4">
        <f t="shared" si="1"/>
        <v>65.333333333333329</v>
      </c>
      <c r="N31" t="str" cm="1">
        <f t="array" ref="N31">_xlfn.IFS(M31&gt;=70,"A",M31&gt;=60,"B",M31&gt;=50,"C",M31&gt;=45,"D",M31&gt;=40,"E",TRUE,"F")</f>
        <v>B</v>
      </c>
      <c r="O31">
        <f t="shared" si="2"/>
        <v>18</v>
      </c>
      <c r="Q31" t="s">
        <v>445</v>
      </c>
      <c r="R31" s="4" t="s">
        <v>20</v>
      </c>
      <c r="S31" s="4">
        <v>84</v>
      </c>
      <c r="U31" t="s">
        <v>658</v>
      </c>
      <c r="V31" t="s">
        <v>20</v>
      </c>
      <c r="W31" s="4">
        <v>86</v>
      </c>
    </row>
    <row r="32" spans="1:26" x14ac:dyDescent="0.35">
      <c r="A32" s="2" t="s">
        <v>51</v>
      </c>
      <c r="B32" s="2" t="s">
        <v>53</v>
      </c>
      <c r="C32" s="2" t="s">
        <v>18</v>
      </c>
      <c r="D32" s="2" t="s">
        <v>14</v>
      </c>
      <c r="E32" s="2" t="s">
        <v>15</v>
      </c>
      <c r="F32" s="2">
        <v>37</v>
      </c>
      <c r="G32" s="2">
        <v>24</v>
      </c>
      <c r="H32" s="2">
        <v>39</v>
      </c>
      <c r="I32" s="2">
        <v>40</v>
      </c>
      <c r="J32" s="2">
        <v>53</v>
      </c>
      <c r="K32" s="2">
        <v>46</v>
      </c>
      <c r="L32">
        <f t="shared" si="0"/>
        <v>239</v>
      </c>
      <c r="M32" s="4">
        <f t="shared" si="1"/>
        <v>39.833333333333336</v>
      </c>
      <c r="N32" t="str" cm="1">
        <f t="array" ref="N32">_xlfn.IFS(M32&gt;=70,"A",M32&gt;=60,"B",M32&gt;=50,"C",M32&gt;=45,"D",M32&gt;=40,"E",TRUE,"F")</f>
        <v>F</v>
      </c>
      <c r="O32">
        <f t="shared" si="2"/>
        <v>40</v>
      </c>
      <c r="R32" s="4"/>
      <c r="S32"/>
      <c r="W32" s="4"/>
    </row>
    <row r="33" spans="1:23" x14ac:dyDescent="0.35">
      <c r="A33" s="2" t="s">
        <v>51</v>
      </c>
      <c r="B33" s="2" t="s">
        <v>53</v>
      </c>
      <c r="C33" s="2" t="s">
        <v>18</v>
      </c>
      <c r="D33" s="2" t="s">
        <v>14</v>
      </c>
      <c r="E33" s="2" t="s">
        <v>17</v>
      </c>
      <c r="F33" s="2">
        <v>41</v>
      </c>
      <c r="G33" s="2">
        <v>59</v>
      </c>
      <c r="H33" s="2">
        <v>40</v>
      </c>
      <c r="I33" s="2">
        <v>55</v>
      </c>
      <c r="J33" s="2">
        <v>41</v>
      </c>
      <c r="K33" s="2">
        <v>56</v>
      </c>
      <c r="L33">
        <f t="shared" si="0"/>
        <v>292</v>
      </c>
      <c r="M33" s="4">
        <f t="shared" si="1"/>
        <v>48.666666666666664</v>
      </c>
      <c r="N33" t="str" cm="1">
        <f t="array" ref="N33">_xlfn.IFS(M33&gt;=70,"A",M33&gt;=60,"B",M33&gt;=50,"C",M33&gt;=45,"D",M33&gt;=40,"E",TRUE,"F")</f>
        <v>D</v>
      </c>
      <c r="O33">
        <f t="shared" si="2"/>
        <v>35</v>
      </c>
      <c r="R33" s="4"/>
      <c r="S33"/>
      <c r="W33" s="4"/>
    </row>
    <row r="34" spans="1:23" x14ac:dyDescent="0.35">
      <c r="A34" s="2" t="s">
        <v>51</v>
      </c>
      <c r="B34" s="2" t="s">
        <v>53</v>
      </c>
      <c r="C34" s="2" t="s">
        <v>18</v>
      </c>
      <c r="D34" s="2" t="s">
        <v>14</v>
      </c>
      <c r="E34" s="2" t="s">
        <v>20</v>
      </c>
      <c r="F34" s="2">
        <v>53</v>
      </c>
      <c r="G34" s="2">
        <v>62</v>
      </c>
      <c r="H34" s="2"/>
      <c r="I34" s="2">
        <v>61</v>
      </c>
      <c r="J34" s="2">
        <v>62</v>
      </c>
      <c r="K34" s="2">
        <v>62</v>
      </c>
      <c r="L34">
        <f t="shared" si="0"/>
        <v>300</v>
      </c>
      <c r="M34" s="4">
        <f t="shared" si="1"/>
        <v>60</v>
      </c>
      <c r="N34" t="str" cm="1">
        <f t="array" ref="N34">_xlfn.IFS(M34&gt;=70,"A",M34&gt;=60,"B",M34&gt;=50,"C",M34&gt;=45,"D",M34&gt;=40,"E",TRUE,"F")</f>
        <v>B</v>
      </c>
      <c r="O34">
        <f t="shared" si="2"/>
        <v>25</v>
      </c>
      <c r="R34" s="4"/>
      <c r="S34"/>
      <c r="W34" s="4"/>
    </row>
    <row r="35" spans="1:23" x14ac:dyDescent="0.35">
      <c r="A35" s="2" t="s">
        <v>54</v>
      </c>
      <c r="B35" s="2" t="s">
        <v>55</v>
      </c>
      <c r="C35" s="2" t="s">
        <v>18</v>
      </c>
      <c r="D35" s="2" t="s">
        <v>14</v>
      </c>
      <c r="E35" s="2" t="s">
        <v>20</v>
      </c>
      <c r="F35" s="2">
        <v>63</v>
      </c>
      <c r="G35" s="2">
        <v>74</v>
      </c>
      <c r="H35" s="2">
        <v>70</v>
      </c>
      <c r="I35" s="2">
        <v>79</v>
      </c>
      <c r="J35" s="2">
        <v>77</v>
      </c>
      <c r="K35" s="2">
        <v>80</v>
      </c>
      <c r="L35">
        <f t="shared" si="0"/>
        <v>443</v>
      </c>
      <c r="M35" s="4">
        <f t="shared" si="1"/>
        <v>73.833333333333329</v>
      </c>
      <c r="N35" t="str" cm="1">
        <f t="array" ref="N35">_xlfn.IFS(M35&gt;=70,"A",M35&gt;=60,"B",M35&gt;=50,"C",M35&gt;=45,"D",M35&gt;=40,"E",TRUE,"F")</f>
        <v>A</v>
      </c>
      <c r="O35">
        <f t="shared" si="2"/>
        <v>6</v>
      </c>
      <c r="R35" s="4"/>
      <c r="S35"/>
      <c r="W35" s="4"/>
    </row>
    <row r="36" spans="1:23" x14ac:dyDescent="0.35">
      <c r="A36" s="2" t="s">
        <v>54</v>
      </c>
      <c r="B36" s="2" t="s">
        <v>55</v>
      </c>
      <c r="C36" s="2" t="s">
        <v>18</v>
      </c>
      <c r="D36" s="2" t="s">
        <v>14</v>
      </c>
      <c r="E36" s="2" t="s">
        <v>15</v>
      </c>
      <c r="F36" s="2">
        <v>63</v>
      </c>
      <c r="G36" s="2">
        <v>71</v>
      </c>
      <c r="H36" s="2">
        <v>69</v>
      </c>
      <c r="I36" s="2">
        <v>64</v>
      </c>
      <c r="J36" s="2">
        <v>63</v>
      </c>
      <c r="K36" s="2">
        <v>91</v>
      </c>
      <c r="L36">
        <f t="shared" si="0"/>
        <v>421</v>
      </c>
      <c r="M36" s="4">
        <f t="shared" si="1"/>
        <v>70.166666666666671</v>
      </c>
      <c r="N36" t="str" cm="1">
        <f t="array" ref="N36">_xlfn.IFS(M36&gt;=70,"A",M36&gt;=60,"B",M36&gt;=50,"C",M36&gt;=45,"D",M36&gt;=40,"E",TRUE,"F")</f>
        <v>A</v>
      </c>
      <c r="O36">
        <f t="shared" si="2"/>
        <v>9</v>
      </c>
    </row>
    <row r="37" spans="1:23" x14ac:dyDescent="0.35">
      <c r="A37" s="2" t="s">
        <v>54</v>
      </c>
      <c r="B37" s="2" t="s">
        <v>55</v>
      </c>
      <c r="C37" s="2" t="s">
        <v>18</v>
      </c>
      <c r="D37" s="2" t="s">
        <v>14</v>
      </c>
      <c r="E37" s="2" t="s">
        <v>17</v>
      </c>
      <c r="F37" s="2">
        <v>79</v>
      </c>
      <c r="G37" s="2">
        <v>62</v>
      </c>
      <c r="H37" s="2">
        <v>73</v>
      </c>
      <c r="I37" s="2">
        <v>79</v>
      </c>
      <c r="J37" s="2">
        <v>81</v>
      </c>
      <c r="K37" s="2">
        <v>79</v>
      </c>
      <c r="L37">
        <f t="shared" si="0"/>
        <v>453</v>
      </c>
      <c r="M37" s="4">
        <f t="shared" si="1"/>
        <v>75.5</v>
      </c>
      <c r="N37" t="str" cm="1">
        <f t="array" ref="N37">_xlfn.IFS(M37&gt;=70,"A",M37&gt;=60,"B",M37&gt;=50,"C",M37&gt;=45,"D",M37&gt;=40,"E",TRUE,"F")</f>
        <v>A</v>
      </c>
      <c r="O37">
        <f t="shared" si="2"/>
        <v>6</v>
      </c>
    </row>
    <row r="38" spans="1:23" x14ac:dyDescent="0.35">
      <c r="A38" s="2" t="s">
        <v>56</v>
      </c>
      <c r="B38" s="2" t="s">
        <v>57</v>
      </c>
      <c r="C38" s="2" t="s">
        <v>18</v>
      </c>
      <c r="D38" s="2" t="s">
        <v>14</v>
      </c>
      <c r="E38" s="2" t="s">
        <v>15</v>
      </c>
      <c r="F38" s="2">
        <v>69</v>
      </c>
      <c r="G38" s="2">
        <v>76</v>
      </c>
      <c r="H38" s="2">
        <v>58</v>
      </c>
      <c r="I38" s="2">
        <v>68</v>
      </c>
      <c r="J38" s="2">
        <v>66</v>
      </c>
      <c r="K38" s="2">
        <v>82</v>
      </c>
      <c r="L38">
        <f t="shared" si="0"/>
        <v>419</v>
      </c>
      <c r="M38" s="4">
        <f t="shared" si="1"/>
        <v>69.833333333333329</v>
      </c>
      <c r="N38" t="str" cm="1">
        <f t="array" ref="N38">_xlfn.IFS(M38&gt;=70,"A",M38&gt;=60,"B",M38&gt;=50,"C",M38&gt;=45,"D",M38&gt;=40,"E",TRUE,"F")</f>
        <v>B</v>
      </c>
      <c r="O38">
        <f t="shared" si="2"/>
        <v>10</v>
      </c>
    </row>
    <row r="39" spans="1:23" x14ac:dyDescent="0.35">
      <c r="A39" s="2" t="s">
        <v>56</v>
      </c>
      <c r="B39" s="2" t="s">
        <v>57</v>
      </c>
      <c r="C39" s="2" t="s">
        <v>18</v>
      </c>
      <c r="D39" s="2" t="s">
        <v>14</v>
      </c>
      <c r="E39" s="2" t="s">
        <v>17</v>
      </c>
      <c r="F39" s="2">
        <v>61</v>
      </c>
      <c r="G39" s="2">
        <v>78</v>
      </c>
      <c r="H39" s="2">
        <v>62</v>
      </c>
      <c r="I39" s="2">
        <v>71</v>
      </c>
      <c r="J39" s="2">
        <v>62</v>
      </c>
      <c r="K39" s="2">
        <v>83</v>
      </c>
      <c r="L39">
        <f t="shared" si="0"/>
        <v>417</v>
      </c>
      <c r="M39" s="4">
        <f t="shared" si="1"/>
        <v>69.5</v>
      </c>
      <c r="N39" t="str" cm="1">
        <f t="array" ref="N39">_xlfn.IFS(M39&gt;=70,"A",M39&gt;=60,"B",M39&gt;=50,"C",M39&gt;=45,"D",M39&gt;=40,"E",TRUE,"F")</f>
        <v>B</v>
      </c>
      <c r="O39">
        <f t="shared" si="2"/>
        <v>10</v>
      </c>
    </row>
    <row r="40" spans="1:23" x14ac:dyDescent="0.35">
      <c r="A40" s="2" t="s">
        <v>56</v>
      </c>
      <c r="B40" s="2" t="s">
        <v>57</v>
      </c>
      <c r="C40" s="2" t="s">
        <v>18</v>
      </c>
      <c r="D40" s="2" t="s">
        <v>14</v>
      </c>
      <c r="E40" s="2" t="s">
        <v>20</v>
      </c>
      <c r="F40" s="2">
        <v>58</v>
      </c>
      <c r="G40" s="2">
        <v>57</v>
      </c>
      <c r="H40" s="2">
        <v>61</v>
      </c>
      <c r="I40" s="2">
        <v>54</v>
      </c>
      <c r="J40" s="2">
        <v>71</v>
      </c>
      <c r="K40" s="2">
        <v>74</v>
      </c>
      <c r="L40">
        <f t="shared" si="0"/>
        <v>375</v>
      </c>
      <c r="M40" s="4">
        <f t="shared" si="1"/>
        <v>62.5</v>
      </c>
      <c r="N40" t="str" cm="1">
        <f t="array" ref="N40">_xlfn.IFS(M40&gt;=70,"A",M40&gt;=60,"B",M40&gt;=50,"C",M40&gt;=45,"D",M40&gt;=40,"E",TRUE,"F")</f>
        <v>B</v>
      </c>
      <c r="O40">
        <f t="shared" si="2"/>
        <v>23</v>
      </c>
    </row>
    <row r="41" spans="1:23" x14ac:dyDescent="0.35">
      <c r="A41" s="2" t="s">
        <v>60</v>
      </c>
      <c r="B41" s="2" t="s">
        <v>61</v>
      </c>
      <c r="C41" s="2" t="s">
        <v>18</v>
      </c>
      <c r="D41" s="2" t="s">
        <v>14</v>
      </c>
      <c r="E41" s="2" t="s">
        <v>15</v>
      </c>
      <c r="F41" s="2">
        <v>52</v>
      </c>
      <c r="G41" s="2">
        <v>66</v>
      </c>
      <c r="H41" s="2">
        <v>51</v>
      </c>
      <c r="I41" s="2">
        <v>64</v>
      </c>
      <c r="J41" s="2">
        <v>62</v>
      </c>
      <c r="K41" s="2">
        <v>60</v>
      </c>
      <c r="L41">
        <f t="shared" si="0"/>
        <v>355</v>
      </c>
      <c r="M41" s="4">
        <f t="shared" si="1"/>
        <v>59.166666666666664</v>
      </c>
      <c r="N41" t="str" cm="1">
        <f t="array" ref="N41">_xlfn.IFS(M41&gt;=70,"A",M41&gt;=60,"B",M41&gt;=50,"C",M41&gt;=45,"D",M41&gt;=40,"E",TRUE,"F")</f>
        <v>C</v>
      </c>
      <c r="O41">
        <f t="shared" si="2"/>
        <v>21</v>
      </c>
    </row>
    <row r="42" spans="1:23" x14ac:dyDescent="0.35">
      <c r="A42" s="2" t="s">
        <v>60</v>
      </c>
      <c r="B42" s="2" t="s">
        <v>61</v>
      </c>
      <c r="C42" s="2" t="s">
        <v>18</v>
      </c>
      <c r="D42" s="2" t="s">
        <v>14</v>
      </c>
      <c r="E42" s="2" t="s">
        <v>17</v>
      </c>
      <c r="F42" s="2">
        <v>34</v>
      </c>
      <c r="G42" s="2">
        <v>61</v>
      </c>
      <c r="H42" s="2">
        <v>49</v>
      </c>
      <c r="I42" s="2">
        <v>57</v>
      </c>
      <c r="J42" s="2">
        <v>49</v>
      </c>
      <c r="K42" s="2">
        <v>62</v>
      </c>
      <c r="L42">
        <f t="shared" si="0"/>
        <v>312</v>
      </c>
      <c r="M42" s="4">
        <f t="shared" si="1"/>
        <v>52</v>
      </c>
      <c r="N42" t="str" cm="1">
        <f t="array" ref="N42">_xlfn.IFS(M42&gt;=70,"A",M42&gt;=60,"B",M42&gt;=50,"C",M42&gt;=45,"D",M42&gt;=40,"E",TRUE,"F")</f>
        <v>C</v>
      </c>
      <c r="O42">
        <f t="shared" si="2"/>
        <v>33</v>
      </c>
    </row>
    <row r="43" spans="1:23" x14ac:dyDescent="0.35">
      <c r="A43" s="2" t="s">
        <v>60</v>
      </c>
      <c r="B43" s="2" t="s">
        <v>61</v>
      </c>
      <c r="C43" s="2" t="s">
        <v>18</v>
      </c>
      <c r="D43" s="2" t="s">
        <v>14</v>
      </c>
      <c r="E43" s="2" t="s">
        <v>20</v>
      </c>
      <c r="F43" s="2">
        <v>48</v>
      </c>
      <c r="G43" s="2">
        <v>53</v>
      </c>
      <c r="H43" s="2">
        <v>50</v>
      </c>
      <c r="I43" s="2">
        <v>63</v>
      </c>
      <c r="J43" s="2">
        <v>64</v>
      </c>
      <c r="K43" s="2">
        <v>64</v>
      </c>
      <c r="L43">
        <f t="shared" si="0"/>
        <v>342</v>
      </c>
      <c r="M43" s="4">
        <f t="shared" si="1"/>
        <v>57</v>
      </c>
      <c r="N43" t="str" cm="1">
        <f t="array" ref="N43">_xlfn.IFS(M43&gt;=70,"A",M43&gt;=60,"B",M43&gt;=50,"C",M43&gt;=45,"D",M43&gt;=40,"E",TRUE,"F")</f>
        <v>C</v>
      </c>
      <c r="O43">
        <f t="shared" si="2"/>
        <v>29</v>
      </c>
    </row>
    <row r="44" spans="1:23" x14ac:dyDescent="0.35">
      <c r="A44" s="2" t="s">
        <v>62</v>
      </c>
      <c r="B44" s="2" t="s">
        <v>63</v>
      </c>
      <c r="C44" s="2" t="s">
        <v>18</v>
      </c>
      <c r="D44" s="2" t="s">
        <v>14</v>
      </c>
      <c r="E44" s="2" t="s">
        <v>15</v>
      </c>
      <c r="F44" s="2">
        <v>71</v>
      </c>
      <c r="G44" s="2">
        <v>50</v>
      </c>
      <c r="H44" s="2">
        <v>49</v>
      </c>
      <c r="I44" s="2">
        <v>50</v>
      </c>
      <c r="J44" s="2">
        <v>61</v>
      </c>
      <c r="K44" s="2">
        <v>55</v>
      </c>
      <c r="L44">
        <f t="shared" si="0"/>
        <v>336</v>
      </c>
      <c r="M44" s="4">
        <f t="shared" si="1"/>
        <v>56</v>
      </c>
      <c r="N44" t="str" cm="1">
        <f t="array" ref="N44">_xlfn.IFS(M44&gt;=70,"A",M44&gt;=60,"B",M44&gt;=50,"C",M44&gt;=45,"D",M44&gt;=40,"E",TRUE,"F")</f>
        <v>C</v>
      </c>
      <c r="O44">
        <f t="shared" si="2"/>
        <v>25</v>
      </c>
    </row>
    <row r="45" spans="1:23" x14ac:dyDescent="0.35">
      <c r="A45" s="2" t="s">
        <v>62</v>
      </c>
      <c r="B45" s="2" t="s">
        <v>63</v>
      </c>
      <c r="C45" s="2" t="s">
        <v>18</v>
      </c>
      <c r="D45" s="2" t="s">
        <v>14</v>
      </c>
      <c r="E45" s="2" t="s">
        <v>17</v>
      </c>
      <c r="F45" s="2">
        <v>33</v>
      </c>
      <c r="G45" s="2">
        <v>49</v>
      </c>
      <c r="H45" s="2">
        <v>56</v>
      </c>
      <c r="I45" s="2">
        <v>68</v>
      </c>
      <c r="J45" s="2">
        <v>51</v>
      </c>
      <c r="K45" s="2">
        <v>59</v>
      </c>
      <c r="L45">
        <f t="shared" si="0"/>
        <v>316</v>
      </c>
      <c r="M45" s="4">
        <f t="shared" si="1"/>
        <v>52.666666666666664</v>
      </c>
      <c r="N45" t="str" cm="1">
        <f t="array" ref="N45">_xlfn.IFS(M45&gt;=70,"A",M45&gt;=60,"B",M45&gt;=50,"C",M45&gt;=45,"D",M45&gt;=40,"E",TRUE,"F")</f>
        <v>C</v>
      </c>
      <c r="O45">
        <f t="shared" si="2"/>
        <v>31</v>
      </c>
    </row>
    <row r="46" spans="1:23" x14ac:dyDescent="0.35">
      <c r="A46" s="2" t="s">
        <v>62</v>
      </c>
      <c r="B46" s="2" t="s">
        <v>63</v>
      </c>
      <c r="C46" s="2" t="s">
        <v>18</v>
      </c>
      <c r="D46" s="2" t="s">
        <v>14</v>
      </c>
      <c r="E46" s="2" t="s">
        <v>20</v>
      </c>
      <c r="F46" s="2">
        <v>55</v>
      </c>
      <c r="G46" s="2">
        <v>56</v>
      </c>
      <c r="H46" s="2">
        <v>63</v>
      </c>
      <c r="I46" s="2">
        <v>65</v>
      </c>
      <c r="J46" s="2">
        <v>68</v>
      </c>
      <c r="K46" s="2">
        <v>62</v>
      </c>
      <c r="L46">
        <f t="shared" si="0"/>
        <v>369</v>
      </c>
      <c r="M46" s="4">
        <f t="shared" si="1"/>
        <v>61.5</v>
      </c>
      <c r="N46" t="str" cm="1">
        <f t="array" ref="N46">_xlfn.IFS(M46&gt;=70,"A",M46&gt;=60,"B",M46&gt;=50,"C",M46&gt;=45,"D",M46&gt;=40,"E",TRUE,"F")</f>
        <v>B</v>
      </c>
      <c r="O46">
        <f t="shared" si="2"/>
        <v>24</v>
      </c>
    </row>
    <row r="47" spans="1:23" x14ac:dyDescent="0.35">
      <c r="A47" s="2" t="s">
        <v>64</v>
      </c>
      <c r="B47" s="2" t="s">
        <v>65</v>
      </c>
      <c r="C47" s="2" t="s">
        <v>18</v>
      </c>
      <c r="D47" s="2" t="s">
        <v>14</v>
      </c>
      <c r="E47" s="2" t="s">
        <v>15</v>
      </c>
      <c r="F47" s="2">
        <v>53</v>
      </c>
      <c r="G47" s="2">
        <v>49</v>
      </c>
      <c r="H47" s="2">
        <v>56</v>
      </c>
      <c r="I47" s="2">
        <v>49</v>
      </c>
      <c r="J47" s="2">
        <v>57</v>
      </c>
      <c r="K47" s="2">
        <v>50</v>
      </c>
      <c r="L47">
        <f t="shared" si="0"/>
        <v>314</v>
      </c>
      <c r="M47" s="4">
        <f t="shared" si="1"/>
        <v>52.333333333333336</v>
      </c>
      <c r="N47" t="str" cm="1">
        <f t="array" ref="N47">_xlfn.IFS(M47&gt;=70,"A",M47&gt;=60,"B",M47&gt;=50,"C",M47&gt;=45,"D",M47&gt;=40,"E",TRUE,"F")</f>
        <v>C</v>
      </c>
      <c r="O47">
        <f t="shared" si="2"/>
        <v>30</v>
      </c>
    </row>
    <row r="48" spans="1:23" x14ac:dyDescent="0.35">
      <c r="A48" s="2" t="s">
        <v>64</v>
      </c>
      <c r="B48" s="2" t="s">
        <v>65</v>
      </c>
      <c r="C48" s="2" t="s">
        <v>18</v>
      </c>
      <c r="D48" s="2" t="s">
        <v>14</v>
      </c>
      <c r="E48" s="2" t="s">
        <v>17</v>
      </c>
      <c r="F48" s="2">
        <v>37</v>
      </c>
      <c r="G48" s="2">
        <v>44</v>
      </c>
      <c r="H48" s="2">
        <v>47</v>
      </c>
      <c r="I48" s="2">
        <v>51</v>
      </c>
      <c r="J48" s="2">
        <v>64</v>
      </c>
      <c r="K48" s="2">
        <v>47</v>
      </c>
      <c r="L48">
        <f t="shared" si="0"/>
        <v>290</v>
      </c>
      <c r="M48" s="4">
        <f t="shared" si="1"/>
        <v>48.333333333333336</v>
      </c>
      <c r="N48" t="str" cm="1">
        <f t="array" ref="N48">_xlfn.IFS(M48&gt;=70,"A",M48&gt;=60,"B",M48&gt;=50,"C",M48&gt;=45,"D",M48&gt;=40,"E",TRUE,"F")</f>
        <v>D</v>
      </c>
      <c r="O48">
        <f t="shared" si="2"/>
        <v>36</v>
      </c>
    </row>
    <row r="49" spans="1:15" x14ac:dyDescent="0.35">
      <c r="A49" s="2" t="s">
        <v>64</v>
      </c>
      <c r="B49" s="2" t="s">
        <v>65</v>
      </c>
      <c r="C49" s="2" t="s">
        <v>18</v>
      </c>
      <c r="D49" s="2" t="s">
        <v>14</v>
      </c>
      <c r="E49" s="2" t="s">
        <v>20</v>
      </c>
      <c r="F49" s="2">
        <v>36</v>
      </c>
      <c r="G49" s="2">
        <v>62</v>
      </c>
      <c r="H49" s="2">
        <v>52</v>
      </c>
      <c r="I49" s="2">
        <v>40</v>
      </c>
      <c r="J49" s="2">
        <v>57</v>
      </c>
      <c r="K49" s="2">
        <v>58</v>
      </c>
      <c r="L49">
        <f t="shared" si="0"/>
        <v>305</v>
      </c>
      <c r="M49" s="4">
        <f t="shared" si="1"/>
        <v>50.833333333333336</v>
      </c>
      <c r="N49" t="str" cm="1">
        <f t="array" ref="N49">_xlfn.IFS(M49&gt;=70,"A",M49&gt;=60,"B",M49&gt;=50,"C",M49&gt;=45,"D",M49&gt;=40,"E",TRUE,"F")</f>
        <v>C</v>
      </c>
      <c r="O49">
        <f t="shared" si="2"/>
        <v>34</v>
      </c>
    </row>
    <row r="50" spans="1:15" x14ac:dyDescent="0.35">
      <c r="A50" s="2" t="s">
        <v>68</v>
      </c>
      <c r="B50" s="2" t="s">
        <v>69</v>
      </c>
      <c r="C50" s="2" t="s">
        <v>23</v>
      </c>
      <c r="D50" s="2" t="s">
        <v>14</v>
      </c>
      <c r="E50" s="2" t="s">
        <v>15</v>
      </c>
      <c r="F50" s="2">
        <v>28</v>
      </c>
      <c r="G50" s="2">
        <v>46</v>
      </c>
      <c r="H50" s="2">
        <v>47</v>
      </c>
      <c r="I50" s="2">
        <v>57</v>
      </c>
      <c r="J50" s="2">
        <v>59</v>
      </c>
      <c r="K50" s="2">
        <v>55</v>
      </c>
      <c r="L50">
        <f t="shared" si="0"/>
        <v>292</v>
      </c>
      <c r="M50" s="4">
        <f t="shared" si="1"/>
        <v>48.666666666666664</v>
      </c>
      <c r="N50" t="str" cm="1">
        <f t="array" ref="N50">_xlfn.IFS(M50&gt;=70,"A",M50&gt;=60,"B",M50&gt;=50,"C",M50&gt;=45,"D",M50&gt;=40,"E",TRUE,"F")</f>
        <v>D</v>
      </c>
      <c r="O50">
        <f t="shared" si="2"/>
        <v>33</v>
      </c>
    </row>
    <row r="51" spans="1:15" x14ac:dyDescent="0.35">
      <c r="A51" s="2" t="s">
        <v>68</v>
      </c>
      <c r="B51" s="2" t="s">
        <v>69</v>
      </c>
      <c r="C51" s="2" t="s">
        <v>23</v>
      </c>
      <c r="D51" s="2" t="s">
        <v>14</v>
      </c>
      <c r="E51" s="2" t="s">
        <v>17</v>
      </c>
      <c r="F51" s="2">
        <v>49</v>
      </c>
      <c r="G51" s="2">
        <v>47</v>
      </c>
      <c r="H51" s="2">
        <v>40</v>
      </c>
      <c r="I51" s="2">
        <v>44</v>
      </c>
      <c r="J51" s="2">
        <v>56</v>
      </c>
      <c r="K51" s="2">
        <v>40</v>
      </c>
      <c r="L51">
        <f t="shared" si="0"/>
        <v>276</v>
      </c>
      <c r="M51" s="4">
        <f t="shared" si="1"/>
        <v>46</v>
      </c>
      <c r="N51" t="str" cm="1">
        <f t="array" ref="N51">_xlfn.IFS(M51&gt;=70,"A",M51&gt;=60,"B",M51&gt;=50,"C",M51&gt;=45,"D",M51&gt;=40,"E",TRUE,"F")</f>
        <v>D</v>
      </c>
      <c r="O51">
        <f t="shared" si="2"/>
        <v>39</v>
      </c>
    </row>
    <row r="52" spans="1:15" x14ac:dyDescent="0.35">
      <c r="A52" s="2" t="s">
        <v>68</v>
      </c>
      <c r="B52" s="2" t="s">
        <v>69</v>
      </c>
      <c r="C52" s="2" t="s">
        <v>23</v>
      </c>
      <c r="D52" s="2" t="s">
        <v>14</v>
      </c>
      <c r="E52" s="2" t="s">
        <v>20</v>
      </c>
      <c r="F52" s="2">
        <v>46</v>
      </c>
      <c r="G52" s="2">
        <v>39</v>
      </c>
      <c r="H52" s="2">
        <v>42</v>
      </c>
      <c r="I52" s="2">
        <v>53</v>
      </c>
      <c r="J52" s="2">
        <v>59</v>
      </c>
      <c r="K52" s="2">
        <v>39</v>
      </c>
      <c r="L52">
        <f t="shared" si="0"/>
        <v>278</v>
      </c>
      <c r="M52" s="4">
        <f t="shared" si="1"/>
        <v>46.333333333333336</v>
      </c>
      <c r="N52" t="str" cm="1">
        <f t="array" ref="N52">_xlfn.IFS(M52&gt;=70,"A",M52&gt;=60,"B",M52&gt;=50,"C",M52&gt;=45,"D",M52&gt;=40,"E",TRUE,"F")</f>
        <v>D</v>
      </c>
      <c r="O52">
        <f t="shared" si="2"/>
        <v>38</v>
      </c>
    </row>
    <row r="53" spans="1:15" x14ac:dyDescent="0.35">
      <c r="A53" s="2" t="s">
        <v>70</v>
      </c>
      <c r="B53" s="2" t="s">
        <v>71</v>
      </c>
      <c r="C53" s="2" t="s">
        <v>18</v>
      </c>
      <c r="D53" s="2" t="s">
        <v>14</v>
      </c>
      <c r="E53" s="2" t="s">
        <v>15</v>
      </c>
      <c r="F53" s="2">
        <v>37</v>
      </c>
      <c r="G53" s="2">
        <v>49</v>
      </c>
      <c r="H53" s="2">
        <v>43</v>
      </c>
      <c r="I53" s="2">
        <v>58</v>
      </c>
      <c r="J53" s="2">
        <v>38</v>
      </c>
      <c r="K53" s="2">
        <v>57</v>
      </c>
      <c r="L53">
        <f t="shared" si="0"/>
        <v>282</v>
      </c>
      <c r="M53" s="4">
        <f t="shared" si="1"/>
        <v>47</v>
      </c>
      <c r="N53" t="str" cm="1">
        <f t="array" ref="N53">_xlfn.IFS(M53&gt;=70,"A",M53&gt;=60,"B",M53&gt;=50,"C",M53&gt;=45,"D",M53&gt;=40,"E",TRUE,"F")</f>
        <v>D</v>
      </c>
      <c r="O53">
        <f t="shared" si="2"/>
        <v>36</v>
      </c>
    </row>
    <row r="54" spans="1:15" x14ac:dyDescent="0.35">
      <c r="A54" s="2" t="s">
        <v>70</v>
      </c>
      <c r="B54" s="2" t="s">
        <v>71</v>
      </c>
      <c r="C54" s="2" t="s">
        <v>18</v>
      </c>
      <c r="D54" s="2" t="s">
        <v>14</v>
      </c>
      <c r="E54" s="2" t="s">
        <v>17</v>
      </c>
      <c r="F54" s="2">
        <v>48</v>
      </c>
      <c r="G54" s="2">
        <v>51</v>
      </c>
      <c r="H54" s="2">
        <v>57</v>
      </c>
      <c r="I54" s="2">
        <v>45</v>
      </c>
      <c r="J54" s="2">
        <v>63</v>
      </c>
      <c r="K54" s="2">
        <v>52</v>
      </c>
      <c r="L54">
        <f t="shared" si="0"/>
        <v>316</v>
      </c>
      <c r="M54" s="4">
        <f t="shared" si="1"/>
        <v>52.666666666666664</v>
      </c>
      <c r="N54" t="str" cm="1">
        <f t="array" ref="N54">_xlfn.IFS(M54&gt;=70,"A",M54&gt;=60,"B",M54&gt;=50,"C",M54&gt;=45,"D",M54&gt;=40,"E",TRUE,"F")</f>
        <v>C</v>
      </c>
      <c r="O54">
        <f t="shared" si="2"/>
        <v>31</v>
      </c>
    </row>
    <row r="55" spans="1:15" x14ac:dyDescent="0.35">
      <c r="A55" s="2" t="s">
        <v>70</v>
      </c>
      <c r="B55" s="2" t="s">
        <v>71</v>
      </c>
      <c r="C55" s="2" t="s">
        <v>18</v>
      </c>
      <c r="D55" s="2" t="s">
        <v>14</v>
      </c>
      <c r="E55" s="2" t="s">
        <v>20</v>
      </c>
      <c r="F55" s="2">
        <v>52</v>
      </c>
      <c r="G55" s="2">
        <v>51</v>
      </c>
      <c r="H55" s="2">
        <v>57</v>
      </c>
      <c r="I55" s="2">
        <v>61</v>
      </c>
      <c r="J55" s="2">
        <v>47</v>
      </c>
      <c r="K55" s="2">
        <v>58</v>
      </c>
      <c r="L55">
        <f t="shared" si="0"/>
        <v>326</v>
      </c>
      <c r="M55" s="4">
        <f t="shared" si="1"/>
        <v>54.333333333333336</v>
      </c>
      <c r="N55" t="str" cm="1">
        <f t="array" ref="N55">_xlfn.IFS(M55&gt;=70,"A",M55&gt;=60,"B",M55&gt;=50,"C",M55&gt;=45,"D",M55&gt;=40,"E",TRUE,"F")</f>
        <v>C</v>
      </c>
      <c r="O55">
        <f t="shared" si="2"/>
        <v>31</v>
      </c>
    </row>
    <row r="56" spans="1:15" x14ac:dyDescent="0.35">
      <c r="A56" s="2" t="s">
        <v>72</v>
      </c>
      <c r="B56" s="2" t="s">
        <v>73</v>
      </c>
      <c r="C56" s="2" t="s">
        <v>23</v>
      </c>
      <c r="D56" s="2" t="s">
        <v>14</v>
      </c>
      <c r="E56" s="2" t="s">
        <v>15</v>
      </c>
      <c r="F56" s="2">
        <v>37</v>
      </c>
      <c r="G56" s="2">
        <v>42</v>
      </c>
      <c r="H56" s="2">
        <v>36</v>
      </c>
      <c r="I56" s="2">
        <v>60</v>
      </c>
      <c r="J56" s="2">
        <v>49</v>
      </c>
      <c r="K56" s="2">
        <v>60</v>
      </c>
      <c r="L56">
        <f t="shared" si="0"/>
        <v>284</v>
      </c>
      <c r="M56" s="4">
        <f t="shared" si="1"/>
        <v>47.333333333333336</v>
      </c>
      <c r="N56" t="str" cm="1">
        <f t="array" ref="N56">_xlfn.IFS(M56&gt;=70,"A",M56&gt;=60,"B",M56&gt;=50,"C",M56&gt;=45,"D",M56&gt;=40,"E",TRUE,"F")</f>
        <v>D</v>
      </c>
      <c r="O56">
        <f t="shared" si="2"/>
        <v>34</v>
      </c>
    </row>
    <row r="57" spans="1:15" x14ac:dyDescent="0.35">
      <c r="A57" s="2" t="s">
        <v>72</v>
      </c>
      <c r="B57" s="2" t="s">
        <v>73</v>
      </c>
      <c r="C57" s="2" t="s">
        <v>23</v>
      </c>
      <c r="D57" s="2" t="s">
        <v>14</v>
      </c>
      <c r="E57" s="2" t="s">
        <v>17</v>
      </c>
      <c r="F57" s="2">
        <v>36</v>
      </c>
      <c r="G57" s="2">
        <v>39</v>
      </c>
      <c r="H57" s="2">
        <v>45</v>
      </c>
      <c r="I57" s="2">
        <v>45</v>
      </c>
      <c r="J57" s="2">
        <v>67</v>
      </c>
      <c r="K57" s="2">
        <v>54</v>
      </c>
      <c r="L57">
        <f t="shared" si="0"/>
        <v>286</v>
      </c>
      <c r="M57" s="4">
        <f t="shared" si="1"/>
        <v>47.666666666666664</v>
      </c>
      <c r="N57" t="str" cm="1">
        <f t="array" ref="N57">_xlfn.IFS(M57&gt;=70,"A",M57&gt;=60,"B",M57&gt;=50,"C",M57&gt;=45,"D",M57&gt;=40,"E",TRUE,"F")</f>
        <v>D</v>
      </c>
      <c r="O57">
        <f t="shared" si="2"/>
        <v>37</v>
      </c>
    </row>
    <row r="58" spans="1:15" x14ac:dyDescent="0.35">
      <c r="A58" s="2" t="s">
        <v>72</v>
      </c>
      <c r="B58" s="2" t="s">
        <v>73</v>
      </c>
      <c r="C58" s="2" t="s">
        <v>23</v>
      </c>
      <c r="D58" s="2" t="s">
        <v>14</v>
      </c>
      <c r="E58" s="2" t="s">
        <v>20</v>
      </c>
      <c r="F58" s="2">
        <v>51</v>
      </c>
      <c r="G58" s="2">
        <v>48</v>
      </c>
      <c r="H58" s="2">
        <v>45</v>
      </c>
      <c r="I58" s="2">
        <v>52</v>
      </c>
      <c r="J58" s="2">
        <v>56</v>
      </c>
      <c r="K58" s="2">
        <v>61</v>
      </c>
      <c r="L58">
        <f t="shared" si="0"/>
        <v>313</v>
      </c>
      <c r="M58" s="4">
        <f t="shared" si="1"/>
        <v>52.166666666666664</v>
      </c>
      <c r="N58" t="str" cm="1">
        <f t="array" ref="N58">_xlfn.IFS(M58&gt;=70,"A",M58&gt;=60,"B",M58&gt;=50,"C",M58&gt;=45,"D",M58&gt;=40,"E",TRUE,"F")</f>
        <v>C</v>
      </c>
      <c r="O58">
        <f t="shared" si="2"/>
        <v>33</v>
      </c>
    </row>
    <row r="59" spans="1:15" x14ac:dyDescent="0.35">
      <c r="A59" s="2" t="s">
        <v>74</v>
      </c>
      <c r="B59" s="2" t="s">
        <v>75</v>
      </c>
      <c r="C59" s="2" t="s">
        <v>18</v>
      </c>
      <c r="D59" s="2" t="s">
        <v>14</v>
      </c>
      <c r="E59" s="2" t="s">
        <v>20</v>
      </c>
      <c r="F59" s="2">
        <v>79</v>
      </c>
      <c r="G59" s="2">
        <v>93</v>
      </c>
      <c r="H59" s="2">
        <v>81</v>
      </c>
      <c r="I59" s="2">
        <v>90</v>
      </c>
      <c r="J59" s="2">
        <v>93</v>
      </c>
      <c r="K59" s="2">
        <v>97</v>
      </c>
      <c r="L59">
        <f t="shared" si="0"/>
        <v>533</v>
      </c>
      <c r="M59" s="4">
        <f t="shared" si="1"/>
        <v>88.833333333333329</v>
      </c>
      <c r="N59" t="str" cm="1">
        <f t="array" ref="N59">_xlfn.IFS(M59&gt;=70,"A",M59&gt;=60,"B",M59&gt;=50,"C",M59&gt;=45,"D",M59&gt;=40,"E",TRUE,"F")</f>
        <v>A</v>
      </c>
      <c r="O59">
        <f t="shared" si="2"/>
        <v>1</v>
      </c>
    </row>
    <row r="60" spans="1:15" x14ac:dyDescent="0.35">
      <c r="A60" s="2" t="s">
        <v>74</v>
      </c>
      <c r="B60" s="2" t="s">
        <v>75</v>
      </c>
      <c r="C60" s="2" t="s">
        <v>18</v>
      </c>
      <c r="D60" s="2" t="s">
        <v>14</v>
      </c>
      <c r="E60" s="2" t="s">
        <v>15</v>
      </c>
      <c r="F60" s="2">
        <v>70</v>
      </c>
      <c r="G60" s="2">
        <v>72</v>
      </c>
      <c r="H60" s="2">
        <v>67</v>
      </c>
      <c r="I60" s="2">
        <v>79</v>
      </c>
      <c r="J60" s="2">
        <v>85</v>
      </c>
      <c r="K60" s="2">
        <v>86</v>
      </c>
      <c r="L60">
        <f t="shared" si="0"/>
        <v>459</v>
      </c>
      <c r="M60" s="4">
        <f t="shared" si="1"/>
        <v>76.5</v>
      </c>
      <c r="N60" t="str" cm="1">
        <f t="array" ref="N60">_xlfn.IFS(M60&gt;=70,"A",M60&gt;=60,"B",M60&gt;=50,"C",M60&gt;=45,"D",M60&gt;=40,"E",TRUE,"F")</f>
        <v>A</v>
      </c>
      <c r="O60">
        <f t="shared" si="2"/>
        <v>4</v>
      </c>
    </row>
    <row r="61" spans="1:15" x14ac:dyDescent="0.35">
      <c r="A61" s="2" t="s">
        <v>74</v>
      </c>
      <c r="B61" s="2" t="s">
        <v>75</v>
      </c>
      <c r="C61" s="2" t="s">
        <v>18</v>
      </c>
      <c r="D61" s="2" t="s">
        <v>14</v>
      </c>
      <c r="E61" s="2" t="s">
        <v>17</v>
      </c>
      <c r="F61" s="2">
        <v>75</v>
      </c>
      <c r="G61" s="2">
        <v>77</v>
      </c>
      <c r="H61" s="2">
        <v>81</v>
      </c>
      <c r="I61" s="2">
        <v>89</v>
      </c>
      <c r="J61" s="2">
        <v>85</v>
      </c>
      <c r="K61" s="2">
        <v>88</v>
      </c>
      <c r="L61">
        <f t="shared" si="0"/>
        <v>495</v>
      </c>
      <c r="M61" s="4">
        <f t="shared" si="1"/>
        <v>82.5</v>
      </c>
      <c r="N61" t="str" cm="1">
        <f t="array" ref="N61">_xlfn.IFS(M61&gt;=70,"A",M61&gt;=60,"B",M61&gt;=50,"C",M61&gt;=45,"D",M61&gt;=40,"E",TRUE,"F")</f>
        <v>A</v>
      </c>
      <c r="O61">
        <f t="shared" si="2"/>
        <v>1</v>
      </c>
    </row>
    <row r="62" spans="1:15" x14ac:dyDescent="0.35">
      <c r="A62" s="2" t="s">
        <v>78</v>
      </c>
      <c r="B62" s="2" t="s">
        <v>79</v>
      </c>
      <c r="C62" s="2" t="s">
        <v>18</v>
      </c>
      <c r="D62" s="2" t="s">
        <v>14</v>
      </c>
      <c r="E62" s="2" t="s">
        <v>15</v>
      </c>
      <c r="F62" s="2">
        <v>59</v>
      </c>
      <c r="G62" s="2">
        <v>59</v>
      </c>
      <c r="H62" s="2">
        <v>57</v>
      </c>
      <c r="I62" s="2">
        <v>47</v>
      </c>
      <c r="J62" s="2">
        <v>63</v>
      </c>
      <c r="K62" s="2">
        <v>77</v>
      </c>
      <c r="L62">
        <f t="shared" si="0"/>
        <v>362</v>
      </c>
      <c r="M62" s="4">
        <f t="shared" si="1"/>
        <v>60.333333333333336</v>
      </c>
      <c r="N62" t="str" cm="1">
        <f t="array" ref="N62">_xlfn.IFS(M62&gt;=70,"A",M62&gt;=60,"B",M62&gt;=50,"C",M62&gt;=45,"D",M62&gt;=40,"E",TRUE,"F")</f>
        <v>B</v>
      </c>
      <c r="O62">
        <f t="shared" si="2"/>
        <v>19</v>
      </c>
    </row>
    <row r="63" spans="1:15" x14ac:dyDescent="0.35">
      <c r="A63" s="2" t="s">
        <v>78</v>
      </c>
      <c r="B63" s="2" t="s">
        <v>79</v>
      </c>
      <c r="C63" s="2" t="s">
        <v>18</v>
      </c>
      <c r="D63" s="2" t="s">
        <v>14</v>
      </c>
      <c r="E63" s="2" t="s">
        <v>17</v>
      </c>
      <c r="F63" s="2">
        <v>42</v>
      </c>
      <c r="G63" s="2">
        <v>46</v>
      </c>
      <c r="H63" s="2">
        <v>50</v>
      </c>
      <c r="I63" s="2">
        <v>64</v>
      </c>
      <c r="J63" s="2">
        <v>61</v>
      </c>
      <c r="K63" s="2">
        <v>56</v>
      </c>
      <c r="L63">
        <f t="shared" si="0"/>
        <v>319</v>
      </c>
      <c r="M63" s="4">
        <f t="shared" si="1"/>
        <v>53.166666666666664</v>
      </c>
      <c r="N63" t="str" cm="1">
        <f t="array" ref="N63">_xlfn.IFS(M63&gt;=70,"A",M63&gt;=60,"B",M63&gt;=50,"C",M63&gt;=45,"D",M63&gt;=40,"E",TRUE,"F")</f>
        <v>C</v>
      </c>
      <c r="O63">
        <f t="shared" si="2"/>
        <v>30</v>
      </c>
    </row>
    <row r="64" spans="1:15" x14ac:dyDescent="0.35">
      <c r="A64" s="2" t="s">
        <v>78</v>
      </c>
      <c r="B64" s="2" t="s">
        <v>79</v>
      </c>
      <c r="C64" s="2" t="s">
        <v>18</v>
      </c>
      <c r="D64" s="2" t="s">
        <v>14</v>
      </c>
      <c r="E64" s="2" t="s">
        <v>20</v>
      </c>
      <c r="F64" s="2">
        <v>46</v>
      </c>
      <c r="G64" s="2">
        <v>60</v>
      </c>
      <c r="H64" s="2">
        <v>55</v>
      </c>
      <c r="I64" s="2">
        <v>72</v>
      </c>
      <c r="J64" s="2">
        <v>64</v>
      </c>
      <c r="K64" s="2">
        <v>61</v>
      </c>
      <c r="L64">
        <f t="shared" si="0"/>
        <v>358</v>
      </c>
      <c r="M64" s="4">
        <f t="shared" si="1"/>
        <v>59.666666666666664</v>
      </c>
      <c r="N64" t="str" cm="1">
        <f t="array" ref="N64">_xlfn.IFS(M64&gt;=70,"A",M64&gt;=60,"B",M64&gt;=50,"C",M64&gt;=45,"D",M64&gt;=40,"E",TRUE,"F")</f>
        <v>C</v>
      </c>
      <c r="O64">
        <f t="shared" si="2"/>
        <v>27</v>
      </c>
    </row>
    <row r="65" spans="1:15" x14ac:dyDescent="0.35">
      <c r="A65" s="2" t="s">
        <v>80</v>
      </c>
      <c r="B65" s="2" t="s">
        <v>81</v>
      </c>
      <c r="C65" s="2" t="s">
        <v>23</v>
      </c>
      <c r="D65" s="2" t="s">
        <v>14</v>
      </c>
      <c r="E65" s="2" t="s">
        <v>20</v>
      </c>
      <c r="F65" s="2">
        <v>65</v>
      </c>
      <c r="G65" s="2">
        <v>52</v>
      </c>
      <c r="H65" s="2">
        <v>73</v>
      </c>
      <c r="I65" s="2">
        <v>77</v>
      </c>
      <c r="J65" s="2">
        <v>68</v>
      </c>
      <c r="K65" s="2">
        <v>74</v>
      </c>
      <c r="L65">
        <f t="shared" si="0"/>
        <v>409</v>
      </c>
      <c r="M65" s="4">
        <f t="shared" si="1"/>
        <v>68.166666666666671</v>
      </c>
      <c r="N65" t="str" cm="1">
        <f t="array" ref="N65">_xlfn.IFS(M65&gt;=70,"A",M65&gt;=60,"B",M65&gt;=50,"C",M65&gt;=45,"D",M65&gt;=40,"E",TRUE,"F")</f>
        <v>B</v>
      </c>
      <c r="O65">
        <f t="shared" si="2"/>
        <v>12</v>
      </c>
    </row>
    <row r="66" spans="1:15" x14ac:dyDescent="0.35">
      <c r="A66" s="2" t="s">
        <v>80</v>
      </c>
      <c r="B66" s="2" t="s">
        <v>81</v>
      </c>
      <c r="C66" s="2" t="s">
        <v>23</v>
      </c>
      <c r="D66" s="2" t="s">
        <v>14</v>
      </c>
      <c r="E66" s="2" t="s">
        <v>15</v>
      </c>
      <c r="F66" s="2">
        <v>46</v>
      </c>
      <c r="G66" s="2">
        <v>46</v>
      </c>
      <c r="H66" s="2">
        <v>39</v>
      </c>
      <c r="I66" s="2">
        <v>52</v>
      </c>
      <c r="J66" s="2">
        <v>55</v>
      </c>
      <c r="K66" s="2">
        <v>44</v>
      </c>
      <c r="L66">
        <f t="shared" ref="L66:L129" si="3">SUM(F66:K66)</f>
        <v>282</v>
      </c>
      <c r="M66" s="4">
        <f t="shared" ref="M66:M129" si="4">AVERAGE(F66:K66)</f>
        <v>47</v>
      </c>
      <c r="N66" t="str" cm="1">
        <f t="array" ref="N66">_xlfn.IFS(M66&gt;=70,"A",M66&gt;=60,"B",M66&gt;=50,"C",M66&gt;=45,"D",M66&gt;=40,"E",TRUE,"F")</f>
        <v>D</v>
      </c>
      <c r="O66">
        <f t="shared" ref="O66:O129" si="5">COUNTIFS($D$2:$D$721,D66,$E$2:$E$721,E66,$M$2:$M$721,"&gt;"&amp;M66)+1</f>
        <v>36</v>
      </c>
    </row>
    <row r="67" spans="1:15" x14ac:dyDescent="0.35">
      <c r="A67" s="2" t="s">
        <v>80</v>
      </c>
      <c r="B67" s="2" t="s">
        <v>81</v>
      </c>
      <c r="C67" s="2" t="s">
        <v>23</v>
      </c>
      <c r="D67" s="2" t="s">
        <v>14</v>
      </c>
      <c r="E67" s="2" t="s">
        <v>17</v>
      </c>
      <c r="F67" s="2">
        <v>46</v>
      </c>
      <c r="G67" s="2">
        <v>53</v>
      </c>
      <c r="H67" s="2">
        <v>56</v>
      </c>
      <c r="I67" s="2">
        <v>57</v>
      </c>
      <c r="J67" s="2">
        <v>63</v>
      </c>
      <c r="K67" s="2">
        <v>63</v>
      </c>
      <c r="L67">
        <f t="shared" si="3"/>
        <v>338</v>
      </c>
      <c r="M67" s="4">
        <f t="shared" si="4"/>
        <v>56.333333333333336</v>
      </c>
      <c r="N67" t="str" cm="1">
        <f t="array" ref="N67">_xlfn.IFS(M67&gt;=70,"A",M67&gt;=60,"B",M67&gt;=50,"C",M67&gt;=45,"D",M67&gt;=40,"E",TRUE,"F")</f>
        <v>C</v>
      </c>
      <c r="O67">
        <f t="shared" si="5"/>
        <v>27</v>
      </c>
    </row>
    <row r="68" spans="1:15" x14ac:dyDescent="0.35">
      <c r="A68" s="2" t="s">
        <v>83</v>
      </c>
      <c r="B68" s="2" t="s">
        <v>84</v>
      </c>
      <c r="C68" s="2" t="s">
        <v>18</v>
      </c>
      <c r="D68" s="2" t="s">
        <v>14</v>
      </c>
      <c r="E68" s="2" t="s">
        <v>15</v>
      </c>
      <c r="F68" s="2">
        <v>56</v>
      </c>
      <c r="G68" s="2">
        <v>52</v>
      </c>
      <c r="H68" s="2">
        <v>57</v>
      </c>
      <c r="I68" s="2">
        <v>66</v>
      </c>
      <c r="J68" s="2">
        <v>64</v>
      </c>
      <c r="K68" s="2">
        <v>71</v>
      </c>
      <c r="L68">
        <f t="shared" si="3"/>
        <v>366</v>
      </c>
      <c r="M68" s="4">
        <f t="shared" si="4"/>
        <v>61</v>
      </c>
      <c r="N68" t="str" cm="1">
        <f t="array" ref="N68">_xlfn.IFS(M68&gt;=70,"A",M68&gt;=60,"B",M68&gt;=50,"C",M68&gt;=45,"D",M68&gt;=40,"E",TRUE,"F")</f>
        <v>B</v>
      </c>
      <c r="O68">
        <f t="shared" si="5"/>
        <v>17</v>
      </c>
    </row>
    <row r="69" spans="1:15" x14ac:dyDescent="0.35">
      <c r="A69" s="2" t="s">
        <v>83</v>
      </c>
      <c r="B69" s="2" t="s">
        <v>84</v>
      </c>
      <c r="C69" s="2" t="s">
        <v>18</v>
      </c>
      <c r="D69" s="2" t="s">
        <v>14</v>
      </c>
      <c r="E69" s="2" t="s">
        <v>17</v>
      </c>
      <c r="F69" s="2">
        <v>52</v>
      </c>
      <c r="G69" s="2">
        <v>58</v>
      </c>
      <c r="H69" s="2">
        <v>50</v>
      </c>
      <c r="I69" s="2">
        <v>58</v>
      </c>
      <c r="J69" s="2">
        <v>58</v>
      </c>
      <c r="K69" s="2">
        <v>75</v>
      </c>
      <c r="L69">
        <f t="shared" si="3"/>
        <v>351</v>
      </c>
      <c r="M69" s="4">
        <f t="shared" si="4"/>
        <v>58.5</v>
      </c>
      <c r="N69" t="str" cm="1">
        <f t="array" ref="N69">_xlfn.IFS(M69&gt;=70,"A",M69&gt;=60,"B",M69&gt;=50,"C",M69&gt;=45,"D",M69&gt;=40,"E",TRUE,"F")</f>
        <v>C</v>
      </c>
      <c r="O69">
        <f t="shared" si="5"/>
        <v>25</v>
      </c>
    </row>
    <row r="70" spans="1:15" x14ac:dyDescent="0.35">
      <c r="A70" s="2" t="s">
        <v>83</v>
      </c>
      <c r="B70" s="2" t="s">
        <v>84</v>
      </c>
      <c r="C70" s="2" t="s">
        <v>18</v>
      </c>
      <c r="D70" s="2" t="s">
        <v>14</v>
      </c>
      <c r="E70" s="2" t="s">
        <v>20</v>
      </c>
      <c r="F70" s="2">
        <v>53</v>
      </c>
      <c r="G70" s="2">
        <v>50</v>
      </c>
      <c r="H70" s="2">
        <v>58</v>
      </c>
      <c r="I70" s="2">
        <v>59</v>
      </c>
      <c r="J70" s="2">
        <v>40</v>
      </c>
      <c r="K70" s="2">
        <v>67</v>
      </c>
      <c r="L70">
        <f t="shared" si="3"/>
        <v>327</v>
      </c>
      <c r="M70" s="4">
        <f t="shared" si="4"/>
        <v>54.5</v>
      </c>
      <c r="N70" t="str" cm="1">
        <f t="array" ref="N70">_xlfn.IFS(M70&gt;=70,"A",M70&gt;=60,"B",M70&gt;=50,"C",M70&gt;=45,"D",M70&gt;=40,"E",TRUE,"F")</f>
        <v>C</v>
      </c>
      <c r="O70">
        <f t="shared" si="5"/>
        <v>30</v>
      </c>
    </row>
    <row r="71" spans="1:15" x14ac:dyDescent="0.35">
      <c r="A71" s="2" t="s">
        <v>85</v>
      </c>
      <c r="B71" s="2" t="s">
        <v>86</v>
      </c>
      <c r="C71" s="2" t="s">
        <v>23</v>
      </c>
      <c r="D71" s="2" t="s">
        <v>14</v>
      </c>
      <c r="E71" s="2" t="s">
        <v>20</v>
      </c>
      <c r="F71" s="2">
        <v>85</v>
      </c>
      <c r="G71" s="2">
        <v>74</v>
      </c>
      <c r="H71" s="2">
        <v>89</v>
      </c>
      <c r="I71" s="2">
        <v>78</v>
      </c>
      <c r="J71" s="2">
        <v>90</v>
      </c>
      <c r="K71" s="2">
        <v>91</v>
      </c>
      <c r="L71">
        <f t="shared" si="3"/>
        <v>507</v>
      </c>
      <c r="M71" s="4">
        <f t="shared" si="4"/>
        <v>84.5</v>
      </c>
      <c r="N71" t="str" cm="1">
        <f t="array" ref="N71">_xlfn.IFS(M71&gt;=70,"A",M71&gt;=60,"B",M71&gt;=50,"C",M71&gt;=45,"D",M71&gt;=40,"E",TRUE,"F")</f>
        <v>A</v>
      </c>
      <c r="O71">
        <f t="shared" si="5"/>
        <v>3</v>
      </c>
    </row>
    <row r="72" spans="1:15" x14ac:dyDescent="0.35">
      <c r="A72" s="2" t="s">
        <v>85</v>
      </c>
      <c r="B72" s="2" t="s">
        <v>86</v>
      </c>
      <c r="C72" s="2" t="s">
        <v>23</v>
      </c>
      <c r="D72" s="2" t="s">
        <v>14</v>
      </c>
      <c r="E72" s="2" t="s">
        <v>15</v>
      </c>
      <c r="F72" s="2">
        <v>42</v>
      </c>
      <c r="G72" s="2">
        <v>63</v>
      </c>
      <c r="H72" s="2">
        <v>51</v>
      </c>
      <c r="I72" s="2">
        <v>52</v>
      </c>
      <c r="J72" s="2">
        <v>67</v>
      </c>
      <c r="K72" s="2">
        <v>55</v>
      </c>
      <c r="L72">
        <f t="shared" si="3"/>
        <v>330</v>
      </c>
      <c r="M72" s="4">
        <f t="shared" si="4"/>
        <v>55</v>
      </c>
      <c r="N72" t="str" cm="1">
        <f t="array" ref="N72">_xlfn.IFS(M72&gt;=70,"A",M72&gt;=60,"B",M72&gt;=50,"C",M72&gt;=45,"D",M72&gt;=40,"E",TRUE,"F")</f>
        <v>C</v>
      </c>
      <c r="O72">
        <f t="shared" si="5"/>
        <v>26</v>
      </c>
    </row>
    <row r="73" spans="1:15" x14ac:dyDescent="0.35">
      <c r="A73" s="2" t="s">
        <v>85</v>
      </c>
      <c r="B73" s="2" t="s">
        <v>86</v>
      </c>
      <c r="C73" s="2" t="s">
        <v>23</v>
      </c>
      <c r="D73" s="2" t="s">
        <v>14</v>
      </c>
      <c r="E73" s="2" t="s">
        <v>17</v>
      </c>
      <c r="F73" s="2">
        <v>60</v>
      </c>
      <c r="G73" s="2">
        <v>70</v>
      </c>
      <c r="H73" s="2">
        <v>71</v>
      </c>
      <c r="I73" s="2">
        <v>77</v>
      </c>
      <c r="J73" s="2">
        <v>72</v>
      </c>
      <c r="K73" s="2">
        <v>69</v>
      </c>
      <c r="L73">
        <f t="shared" si="3"/>
        <v>419</v>
      </c>
      <c r="M73" s="4">
        <f t="shared" si="4"/>
        <v>69.833333333333329</v>
      </c>
      <c r="N73" t="str" cm="1">
        <f t="array" ref="N73">_xlfn.IFS(M73&gt;=70,"A",M73&gt;=60,"B",M73&gt;=50,"C",M73&gt;=45,"D",M73&gt;=40,"E",TRUE,"F")</f>
        <v>B</v>
      </c>
      <c r="O73">
        <f t="shared" si="5"/>
        <v>9</v>
      </c>
    </row>
    <row r="74" spans="1:15" x14ac:dyDescent="0.35">
      <c r="A74" s="2" t="s">
        <v>87</v>
      </c>
      <c r="B74" s="2" t="s">
        <v>88</v>
      </c>
      <c r="C74" s="2" t="s">
        <v>23</v>
      </c>
      <c r="D74" s="2" t="s">
        <v>14</v>
      </c>
      <c r="E74" s="2" t="s">
        <v>20</v>
      </c>
      <c r="F74" s="2">
        <v>55</v>
      </c>
      <c r="G74" s="2">
        <v>66</v>
      </c>
      <c r="H74" s="2">
        <v>63</v>
      </c>
      <c r="I74" s="2">
        <v>64</v>
      </c>
      <c r="J74" s="2">
        <v>74</v>
      </c>
      <c r="K74" s="2">
        <v>69</v>
      </c>
      <c r="L74">
        <f t="shared" si="3"/>
        <v>391</v>
      </c>
      <c r="M74" s="4">
        <f t="shared" si="4"/>
        <v>65.166666666666671</v>
      </c>
      <c r="N74" t="str" cm="1">
        <f t="array" ref="N74">_xlfn.IFS(M74&gt;=70,"A",M74&gt;=60,"B",M74&gt;=50,"C",M74&gt;=45,"D",M74&gt;=40,"E",TRUE,"F")</f>
        <v>B</v>
      </c>
      <c r="O74">
        <f t="shared" si="5"/>
        <v>19</v>
      </c>
    </row>
    <row r="75" spans="1:15" x14ac:dyDescent="0.35">
      <c r="A75" s="2" t="s">
        <v>87</v>
      </c>
      <c r="B75" s="2" t="s">
        <v>88</v>
      </c>
      <c r="C75" s="2" t="s">
        <v>23</v>
      </c>
      <c r="D75" s="2" t="s">
        <v>14</v>
      </c>
      <c r="E75" s="2" t="s">
        <v>15</v>
      </c>
      <c r="F75" s="2">
        <v>45</v>
      </c>
      <c r="G75" s="2">
        <v>61</v>
      </c>
      <c r="H75" s="2"/>
      <c r="I75" s="2">
        <v>66</v>
      </c>
      <c r="J75" s="2">
        <v>61</v>
      </c>
      <c r="K75" s="2">
        <v>67</v>
      </c>
      <c r="L75">
        <f t="shared" si="3"/>
        <v>300</v>
      </c>
      <c r="M75" s="4">
        <f t="shared" si="4"/>
        <v>60</v>
      </c>
      <c r="N75" t="str" cm="1">
        <f t="array" ref="N75">_xlfn.IFS(M75&gt;=70,"A",M75&gt;=60,"B",M75&gt;=50,"C",M75&gt;=45,"D",M75&gt;=40,"E",TRUE,"F")</f>
        <v>B</v>
      </c>
      <c r="O75">
        <f t="shared" si="5"/>
        <v>20</v>
      </c>
    </row>
    <row r="76" spans="1:15" x14ac:dyDescent="0.35">
      <c r="A76" s="2" t="s">
        <v>87</v>
      </c>
      <c r="B76" s="2" t="s">
        <v>88</v>
      </c>
      <c r="C76" s="2" t="s">
        <v>23</v>
      </c>
      <c r="D76" s="2" t="s">
        <v>14</v>
      </c>
      <c r="E76" s="2" t="s">
        <v>17</v>
      </c>
      <c r="F76" s="2">
        <v>54</v>
      </c>
      <c r="G76" s="2">
        <v>54</v>
      </c>
      <c r="H76" s="2">
        <v>67</v>
      </c>
      <c r="I76" s="2">
        <v>62</v>
      </c>
      <c r="J76" s="2">
        <v>76</v>
      </c>
      <c r="K76" s="2">
        <v>73</v>
      </c>
      <c r="L76">
        <f t="shared" si="3"/>
        <v>386</v>
      </c>
      <c r="M76" s="4">
        <f t="shared" si="4"/>
        <v>64.333333333333329</v>
      </c>
      <c r="N76" t="str" cm="1">
        <f t="array" ref="N76">_xlfn.IFS(M76&gt;=70,"A",M76&gt;=60,"B",M76&gt;=50,"C",M76&gt;=45,"D",M76&gt;=40,"E",TRUE,"F")</f>
        <v>B</v>
      </c>
      <c r="O76">
        <f t="shared" si="5"/>
        <v>19</v>
      </c>
    </row>
    <row r="77" spans="1:15" x14ac:dyDescent="0.35">
      <c r="A77" s="2" t="s">
        <v>90</v>
      </c>
      <c r="B77" s="2" t="s">
        <v>91</v>
      </c>
      <c r="C77" s="2" t="s">
        <v>23</v>
      </c>
      <c r="D77" s="2" t="s">
        <v>14</v>
      </c>
      <c r="E77" s="2" t="s">
        <v>20</v>
      </c>
      <c r="F77" s="2">
        <v>63</v>
      </c>
      <c r="G77" s="2">
        <v>75</v>
      </c>
      <c r="H77" s="2">
        <v>61</v>
      </c>
      <c r="I77" s="2">
        <v>55</v>
      </c>
      <c r="J77" s="2">
        <v>64</v>
      </c>
      <c r="K77" s="2">
        <v>73</v>
      </c>
      <c r="L77">
        <f t="shared" si="3"/>
        <v>391</v>
      </c>
      <c r="M77" s="4">
        <f t="shared" si="4"/>
        <v>65.166666666666671</v>
      </c>
      <c r="N77" t="str" cm="1">
        <f t="array" ref="N77">_xlfn.IFS(M77&gt;=70,"A",M77&gt;=60,"B",M77&gt;=50,"C",M77&gt;=45,"D",M77&gt;=40,"E",TRUE,"F")</f>
        <v>B</v>
      </c>
      <c r="O77">
        <f t="shared" si="5"/>
        <v>19</v>
      </c>
    </row>
    <row r="78" spans="1:15" x14ac:dyDescent="0.35">
      <c r="A78" s="2" t="s">
        <v>90</v>
      </c>
      <c r="B78" s="2" t="s">
        <v>91</v>
      </c>
      <c r="C78" s="2" t="s">
        <v>23</v>
      </c>
      <c r="D78" s="2" t="s">
        <v>14</v>
      </c>
      <c r="E78" s="2" t="s">
        <v>15</v>
      </c>
      <c r="F78" s="2">
        <v>66</v>
      </c>
      <c r="G78" s="2">
        <v>67</v>
      </c>
      <c r="H78" s="2">
        <v>52</v>
      </c>
      <c r="I78" s="2">
        <v>63</v>
      </c>
      <c r="J78" s="2">
        <v>63</v>
      </c>
      <c r="K78" s="2">
        <v>56</v>
      </c>
      <c r="L78">
        <f t="shared" si="3"/>
        <v>367</v>
      </c>
      <c r="M78" s="4">
        <f t="shared" si="4"/>
        <v>61.166666666666664</v>
      </c>
      <c r="N78" t="str" cm="1">
        <f t="array" ref="N78">_xlfn.IFS(M78&gt;=70,"A",M78&gt;=60,"B",M78&gt;=50,"C",M78&gt;=45,"D",M78&gt;=40,"E",TRUE,"F")</f>
        <v>B</v>
      </c>
      <c r="O78">
        <f t="shared" si="5"/>
        <v>16</v>
      </c>
    </row>
    <row r="79" spans="1:15" x14ac:dyDescent="0.35">
      <c r="A79" s="2" t="s">
        <v>90</v>
      </c>
      <c r="B79" s="2" t="s">
        <v>91</v>
      </c>
      <c r="C79" s="2" t="s">
        <v>23</v>
      </c>
      <c r="D79" s="2" t="s">
        <v>14</v>
      </c>
      <c r="E79" s="2" t="s">
        <v>17</v>
      </c>
      <c r="F79" s="2">
        <v>62</v>
      </c>
      <c r="G79" s="2">
        <v>68</v>
      </c>
      <c r="H79" s="2">
        <v>66</v>
      </c>
      <c r="I79" s="2">
        <v>61</v>
      </c>
      <c r="J79" s="2">
        <v>73</v>
      </c>
      <c r="K79" s="2">
        <v>66</v>
      </c>
      <c r="L79">
        <f t="shared" si="3"/>
        <v>396</v>
      </c>
      <c r="M79" s="4">
        <f t="shared" si="4"/>
        <v>66</v>
      </c>
      <c r="N79" t="str" cm="1">
        <f t="array" ref="N79">_xlfn.IFS(M79&gt;=70,"A",M79&gt;=60,"B",M79&gt;=50,"C",M79&gt;=45,"D",M79&gt;=40,"E",TRUE,"F")</f>
        <v>B</v>
      </c>
      <c r="O79">
        <f t="shared" si="5"/>
        <v>15</v>
      </c>
    </row>
    <row r="80" spans="1:15" x14ac:dyDescent="0.35">
      <c r="A80" s="2" t="s">
        <v>92</v>
      </c>
      <c r="B80" s="2" t="s">
        <v>93</v>
      </c>
      <c r="C80" s="2" t="s">
        <v>23</v>
      </c>
      <c r="D80" s="2" t="s">
        <v>14</v>
      </c>
      <c r="E80" s="2" t="s">
        <v>15</v>
      </c>
      <c r="F80" s="2">
        <v>46</v>
      </c>
      <c r="G80" s="2">
        <v>35</v>
      </c>
      <c r="H80" s="2">
        <v>40</v>
      </c>
      <c r="I80" s="2">
        <v>48</v>
      </c>
      <c r="J80" s="2">
        <v>50</v>
      </c>
      <c r="K80" s="2">
        <v>56</v>
      </c>
      <c r="L80">
        <f t="shared" si="3"/>
        <v>275</v>
      </c>
      <c r="M80" s="4">
        <f t="shared" si="4"/>
        <v>45.833333333333336</v>
      </c>
      <c r="N80" t="str" cm="1">
        <f t="array" ref="N80">_xlfn.IFS(M80&gt;=70,"A",M80&gt;=60,"B",M80&gt;=50,"C",M80&gt;=45,"D",M80&gt;=40,"E",TRUE,"F")</f>
        <v>D</v>
      </c>
      <c r="O80">
        <f t="shared" si="5"/>
        <v>38</v>
      </c>
    </row>
    <row r="81" spans="1:15" x14ac:dyDescent="0.35">
      <c r="A81" s="2" t="s">
        <v>92</v>
      </c>
      <c r="B81" s="2" t="s">
        <v>93</v>
      </c>
      <c r="C81" s="2" t="s">
        <v>23</v>
      </c>
      <c r="D81" s="2" t="s">
        <v>14</v>
      </c>
      <c r="E81" s="2" t="s">
        <v>17</v>
      </c>
      <c r="F81" s="2">
        <v>31</v>
      </c>
      <c r="G81" s="2">
        <v>41</v>
      </c>
      <c r="H81" s="2">
        <v>49</v>
      </c>
      <c r="I81" s="2">
        <v>50</v>
      </c>
      <c r="J81" s="2">
        <v>51</v>
      </c>
      <c r="K81" s="2">
        <v>58</v>
      </c>
      <c r="L81">
        <f t="shared" si="3"/>
        <v>280</v>
      </c>
      <c r="M81" s="4">
        <f t="shared" si="4"/>
        <v>46.666666666666664</v>
      </c>
      <c r="N81" t="str" cm="1">
        <f t="array" ref="N81">_xlfn.IFS(M81&gt;=70,"A",M81&gt;=60,"B",M81&gt;=50,"C",M81&gt;=45,"D",M81&gt;=40,"E",TRUE,"F")</f>
        <v>D</v>
      </c>
      <c r="O81">
        <f t="shared" si="5"/>
        <v>38</v>
      </c>
    </row>
    <row r="82" spans="1:15" x14ac:dyDescent="0.35">
      <c r="A82" s="2" t="s">
        <v>92</v>
      </c>
      <c r="B82" s="2" t="s">
        <v>93</v>
      </c>
      <c r="C82" s="2" t="s">
        <v>23</v>
      </c>
      <c r="D82" s="2" t="s">
        <v>14</v>
      </c>
      <c r="E82" s="2" t="s">
        <v>20</v>
      </c>
      <c r="F82" s="2">
        <v>40</v>
      </c>
      <c r="G82" s="2">
        <v>49</v>
      </c>
      <c r="H82" s="2">
        <v>41</v>
      </c>
      <c r="I82" s="2">
        <v>38</v>
      </c>
      <c r="J82" s="2">
        <v>40</v>
      </c>
      <c r="K82" s="2">
        <v>51</v>
      </c>
      <c r="L82">
        <f t="shared" si="3"/>
        <v>259</v>
      </c>
      <c r="M82" s="4">
        <f t="shared" si="4"/>
        <v>43.166666666666664</v>
      </c>
      <c r="N82" t="str" cm="1">
        <f t="array" ref="N82">_xlfn.IFS(M82&gt;=70,"A",M82&gt;=60,"B",M82&gt;=50,"C",M82&gt;=45,"D",M82&gt;=40,"E",TRUE,"F")</f>
        <v>E</v>
      </c>
      <c r="O82">
        <f t="shared" si="5"/>
        <v>39</v>
      </c>
    </row>
    <row r="83" spans="1:15" x14ac:dyDescent="0.35">
      <c r="A83" s="2" t="s">
        <v>94</v>
      </c>
      <c r="B83" s="2" t="s">
        <v>96</v>
      </c>
      <c r="C83" s="2" t="s">
        <v>23</v>
      </c>
      <c r="D83" s="2" t="s">
        <v>14</v>
      </c>
      <c r="E83" s="2" t="s">
        <v>20</v>
      </c>
      <c r="F83" s="2">
        <v>59</v>
      </c>
      <c r="G83" s="2">
        <v>61</v>
      </c>
      <c r="H83" s="2">
        <v>65</v>
      </c>
      <c r="I83" s="2">
        <v>59</v>
      </c>
      <c r="J83" s="2">
        <v>68</v>
      </c>
      <c r="K83" s="2">
        <v>68</v>
      </c>
      <c r="L83">
        <f t="shared" si="3"/>
        <v>380</v>
      </c>
      <c r="M83" s="4">
        <f t="shared" si="4"/>
        <v>63.333333333333336</v>
      </c>
      <c r="N83" t="str" cm="1">
        <f t="array" ref="N83">_xlfn.IFS(M83&gt;=70,"A",M83&gt;=60,"B",M83&gt;=50,"C",M83&gt;=45,"D",M83&gt;=40,"E",TRUE,"F")</f>
        <v>B</v>
      </c>
      <c r="O83">
        <f t="shared" si="5"/>
        <v>22</v>
      </c>
    </row>
    <row r="84" spans="1:15" x14ac:dyDescent="0.35">
      <c r="A84" s="2" t="s">
        <v>94</v>
      </c>
      <c r="B84" s="2" t="s">
        <v>96</v>
      </c>
      <c r="C84" s="2" t="s">
        <v>23</v>
      </c>
      <c r="D84" s="2" t="s">
        <v>14</v>
      </c>
      <c r="E84" s="2" t="s">
        <v>15</v>
      </c>
      <c r="F84" s="2">
        <v>47</v>
      </c>
      <c r="G84" s="2">
        <v>50</v>
      </c>
      <c r="H84" s="2">
        <v>55</v>
      </c>
      <c r="I84" s="2">
        <v>51</v>
      </c>
      <c r="J84" s="2">
        <v>59</v>
      </c>
      <c r="K84" s="2">
        <v>60</v>
      </c>
      <c r="L84">
        <f t="shared" si="3"/>
        <v>322</v>
      </c>
      <c r="M84" s="4">
        <f t="shared" si="4"/>
        <v>53.666666666666664</v>
      </c>
      <c r="N84" t="str" cm="1">
        <f t="array" ref="N84">_xlfn.IFS(M84&gt;=70,"A",M84&gt;=60,"B",M84&gt;=50,"C",M84&gt;=45,"D",M84&gt;=40,"E",TRUE,"F")</f>
        <v>C</v>
      </c>
      <c r="O84">
        <f t="shared" si="5"/>
        <v>28</v>
      </c>
    </row>
    <row r="85" spans="1:15" x14ac:dyDescent="0.35">
      <c r="A85" s="2" t="s">
        <v>94</v>
      </c>
      <c r="B85" s="2" t="s">
        <v>96</v>
      </c>
      <c r="C85" s="2" t="s">
        <v>23</v>
      </c>
      <c r="D85" s="2" t="s">
        <v>14</v>
      </c>
      <c r="E85" s="2" t="s">
        <v>17</v>
      </c>
      <c r="F85" s="2">
        <v>47</v>
      </c>
      <c r="G85" s="2">
        <v>42</v>
      </c>
      <c r="H85" s="2">
        <v>67</v>
      </c>
      <c r="I85" s="2">
        <v>64</v>
      </c>
      <c r="J85" s="2">
        <v>44</v>
      </c>
      <c r="K85" s="2">
        <v>62</v>
      </c>
      <c r="L85">
        <f t="shared" si="3"/>
        <v>326</v>
      </c>
      <c r="M85" s="4">
        <f t="shared" si="4"/>
        <v>54.333333333333336</v>
      </c>
      <c r="N85" t="str" cm="1">
        <f t="array" ref="N85">_xlfn.IFS(M85&gt;=70,"A",M85&gt;=60,"B",M85&gt;=50,"C",M85&gt;=45,"D",M85&gt;=40,"E",TRUE,"F")</f>
        <v>C</v>
      </c>
      <c r="O85">
        <f t="shared" si="5"/>
        <v>28</v>
      </c>
    </row>
    <row r="86" spans="1:15" x14ac:dyDescent="0.35">
      <c r="A86" s="2" t="s">
        <v>97</v>
      </c>
      <c r="B86" s="2" t="s">
        <v>99</v>
      </c>
      <c r="C86" s="2" t="s">
        <v>23</v>
      </c>
      <c r="D86" s="2" t="s">
        <v>14</v>
      </c>
      <c r="E86" s="2" t="s">
        <v>20</v>
      </c>
      <c r="F86" s="2">
        <v>56</v>
      </c>
      <c r="G86" s="2">
        <v>77</v>
      </c>
      <c r="H86" s="2">
        <v>78</v>
      </c>
      <c r="I86" s="2">
        <v>79</v>
      </c>
      <c r="J86" s="2">
        <v>81</v>
      </c>
      <c r="K86" s="2">
        <v>67</v>
      </c>
      <c r="L86">
        <f t="shared" si="3"/>
        <v>438</v>
      </c>
      <c r="M86" s="4">
        <f t="shared" si="4"/>
        <v>73</v>
      </c>
      <c r="N86" t="str" cm="1">
        <f t="array" ref="N86">_xlfn.IFS(M86&gt;=70,"A",M86&gt;=60,"B",M86&gt;=50,"C",M86&gt;=45,"D",M86&gt;=40,"E",TRUE,"F")</f>
        <v>A</v>
      </c>
      <c r="O86">
        <f t="shared" si="5"/>
        <v>7</v>
      </c>
    </row>
    <row r="87" spans="1:15" x14ac:dyDescent="0.35">
      <c r="A87" s="2" t="s">
        <v>97</v>
      </c>
      <c r="B87" s="2" t="s">
        <v>99</v>
      </c>
      <c r="C87" s="2" t="s">
        <v>23</v>
      </c>
      <c r="D87" s="2" t="s">
        <v>14</v>
      </c>
      <c r="E87" s="2" t="s">
        <v>15</v>
      </c>
      <c r="F87" s="2">
        <v>60</v>
      </c>
      <c r="G87" s="2">
        <v>66</v>
      </c>
      <c r="H87" s="2">
        <v>66</v>
      </c>
      <c r="I87" s="2">
        <v>77</v>
      </c>
      <c r="J87" s="2">
        <v>67</v>
      </c>
      <c r="K87" s="2">
        <v>70</v>
      </c>
      <c r="L87">
        <f t="shared" si="3"/>
        <v>406</v>
      </c>
      <c r="M87" s="4">
        <f t="shared" si="4"/>
        <v>67.666666666666671</v>
      </c>
      <c r="N87" t="str" cm="1">
        <f t="array" ref="N87">_xlfn.IFS(M87&gt;=70,"A",M87&gt;=60,"B",M87&gt;=50,"C",M87&gt;=45,"D",M87&gt;=40,"E",TRUE,"F")</f>
        <v>B</v>
      </c>
      <c r="O87">
        <f t="shared" si="5"/>
        <v>11</v>
      </c>
    </row>
    <row r="88" spans="1:15" x14ac:dyDescent="0.35">
      <c r="A88" s="2" t="s">
        <v>97</v>
      </c>
      <c r="B88" s="2" t="s">
        <v>99</v>
      </c>
      <c r="C88" s="2" t="s">
        <v>23</v>
      </c>
      <c r="D88" s="2" t="s">
        <v>14</v>
      </c>
      <c r="E88" s="2" t="s">
        <v>17</v>
      </c>
      <c r="F88" s="2">
        <v>67</v>
      </c>
      <c r="G88" s="2">
        <v>71</v>
      </c>
      <c r="H88" s="2">
        <v>73</v>
      </c>
      <c r="I88" s="2">
        <v>80</v>
      </c>
      <c r="J88" s="2">
        <v>85</v>
      </c>
      <c r="K88" s="2">
        <v>78</v>
      </c>
      <c r="L88">
        <f t="shared" si="3"/>
        <v>454</v>
      </c>
      <c r="M88" s="4">
        <f t="shared" si="4"/>
        <v>75.666666666666671</v>
      </c>
      <c r="N88" t="str" cm="1">
        <f t="array" ref="N88">_xlfn.IFS(M88&gt;=70,"A",M88&gt;=60,"B",M88&gt;=50,"C",M88&gt;=45,"D",M88&gt;=40,"E",TRUE,"F")</f>
        <v>A</v>
      </c>
      <c r="O88">
        <f t="shared" si="5"/>
        <v>5</v>
      </c>
    </row>
    <row r="89" spans="1:15" x14ac:dyDescent="0.35">
      <c r="A89" s="2" t="s">
        <v>100</v>
      </c>
      <c r="B89" s="2" t="s">
        <v>101</v>
      </c>
      <c r="C89" s="2" t="s">
        <v>23</v>
      </c>
      <c r="D89" s="2" t="s">
        <v>14</v>
      </c>
      <c r="E89" s="2" t="s">
        <v>20</v>
      </c>
      <c r="F89" s="2">
        <v>76</v>
      </c>
      <c r="G89" s="2">
        <v>69</v>
      </c>
      <c r="H89" s="2">
        <v>73</v>
      </c>
      <c r="I89" s="2">
        <v>63</v>
      </c>
      <c r="J89" s="2">
        <v>61</v>
      </c>
      <c r="K89" s="2">
        <v>68</v>
      </c>
      <c r="L89">
        <f t="shared" si="3"/>
        <v>410</v>
      </c>
      <c r="M89" s="4">
        <f t="shared" si="4"/>
        <v>68.333333333333329</v>
      </c>
      <c r="N89" t="str" cm="1">
        <f t="array" ref="N89">_xlfn.IFS(M89&gt;=70,"A",M89&gt;=60,"B",M89&gt;=50,"C",M89&gt;=45,"D",M89&gt;=40,"E",TRUE,"F")</f>
        <v>B</v>
      </c>
      <c r="O89">
        <f t="shared" si="5"/>
        <v>11</v>
      </c>
    </row>
    <row r="90" spans="1:15" x14ac:dyDescent="0.35">
      <c r="A90" s="2" t="s">
        <v>100</v>
      </c>
      <c r="B90" s="2" t="s">
        <v>101</v>
      </c>
      <c r="C90" s="2" t="s">
        <v>23</v>
      </c>
      <c r="D90" s="2" t="s">
        <v>14</v>
      </c>
      <c r="E90" s="2" t="s">
        <v>15</v>
      </c>
      <c r="F90" s="2">
        <v>58</v>
      </c>
      <c r="G90" s="2">
        <v>58</v>
      </c>
      <c r="H90" s="2">
        <v>48</v>
      </c>
      <c r="I90" s="2">
        <v>57</v>
      </c>
      <c r="J90" s="2">
        <v>58</v>
      </c>
      <c r="K90" s="2">
        <v>71</v>
      </c>
      <c r="L90">
        <f t="shared" si="3"/>
        <v>350</v>
      </c>
      <c r="M90" s="4">
        <f t="shared" si="4"/>
        <v>58.333333333333336</v>
      </c>
      <c r="N90" t="str" cm="1">
        <f t="array" ref="N90">_xlfn.IFS(M90&gt;=70,"A",M90&gt;=60,"B",M90&gt;=50,"C",M90&gt;=45,"D",M90&gt;=40,"E",TRUE,"F")</f>
        <v>C</v>
      </c>
      <c r="O90">
        <f t="shared" si="5"/>
        <v>22</v>
      </c>
    </row>
    <row r="91" spans="1:15" x14ac:dyDescent="0.35">
      <c r="A91" s="2" t="s">
        <v>100</v>
      </c>
      <c r="B91" s="2" t="s">
        <v>101</v>
      </c>
      <c r="C91" s="2" t="s">
        <v>23</v>
      </c>
      <c r="D91" s="2" t="s">
        <v>14</v>
      </c>
      <c r="E91" s="2" t="s">
        <v>17</v>
      </c>
      <c r="F91" s="2">
        <v>63</v>
      </c>
      <c r="G91" s="2">
        <v>76</v>
      </c>
      <c r="H91" s="2">
        <v>68</v>
      </c>
      <c r="I91" s="2">
        <v>59</v>
      </c>
      <c r="J91" s="2">
        <v>60</v>
      </c>
      <c r="K91" s="2">
        <v>79</v>
      </c>
      <c r="L91">
        <f t="shared" si="3"/>
        <v>405</v>
      </c>
      <c r="M91" s="4">
        <f t="shared" si="4"/>
        <v>67.5</v>
      </c>
      <c r="N91" t="str" cm="1">
        <f t="array" ref="N91">_xlfn.IFS(M91&gt;=70,"A",M91&gt;=60,"B",M91&gt;=50,"C",M91&gt;=45,"D",M91&gt;=40,"E",TRUE,"F")</f>
        <v>B</v>
      </c>
      <c r="O91">
        <f t="shared" si="5"/>
        <v>12</v>
      </c>
    </row>
    <row r="92" spans="1:15" x14ac:dyDescent="0.35">
      <c r="A92" s="2" t="s">
        <v>102</v>
      </c>
      <c r="B92" s="2" t="s">
        <v>103</v>
      </c>
      <c r="C92" s="2" t="s">
        <v>18</v>
      </c>
      <c r="D92" s="2" t="s">
        <v>14</v>
      </c>
      <c r="E92" s="2" t="s">
        <v>20</v>
      </c>
      <c r="F92" s="2">
        <v>63</v>
      </c>
      <c r="G92" s="2">
        <v>56</v>
      </c>
      <c r="H92" s="2">
        <v>68</v>
      </c>
      <c r="I92" s="2">
        <v>65</v>
      </c>
      <c r="J92" s="2">
        <v>83</v>
      </c>
      <c r="K92" s="2">
        <v>63</v>
      </c>
      <c r="L92">
        <f t="shared" si="3"/>
        <v>398</v>
      </c>
      <c r="M92" s="4">
        <f t="shared" si="4"/>
        <v>66.333333333333329</v>
      </c>
      <c r="N92" t="str" cm="1">
        <f t="array" ref="N92">_xlfn.IFS(M92&gt;=70,"A",M92&gt;=60,"B",M92&gt;=50,"C",M92&gt;=45,"D",M92&gt;=40,"E",TRUE,"F")</f>
        <v>B</v>
      </c>
      <c r="O92">
        <f t="shared" si="5"/>
        <v>16</v>
      </c>
    </row>
    <row r="93" spans="1:15" x14ac:dyDescent="0.35">
      <c r="A93" s="2" t="s">
        <v>102</v>
      </c>
      <c r="B93" s="2" t="s">
        <v>103</v>
      </c>
      <c r="C93" s="2" t="s">
        <v>18</v>
      </c>
      <c r="D93" s="2" t="s">
        <v>14</v>
      </c>
      <c r="E93" s="2" t="s">
        <v>15</v>
      </c>
      <c r="F93" s="2">
        <v>39</v>
      </c>
      <c r="G93" s="2">
        <v>44</v>
      </c>
      <c r="H93" s="2">
        <v>44</v>
      </c>
      <c r="I93" s="2">
        <v>48</v>
      </c>
      <c r="J93" s="2">
        <v>57</v>
      </c>
      <c r="K93" s="2">
        <v>64</v>
      </c>
      <c r="L93">
        <f t="shared" si="3"/>
        <v>296</v>
      </c>
      <c r="M93" s="4">
        <f t="shared" si="4"/>
        <v>49.333333333333336</v>
      </c>
      <c r="N93" t="str" cm="1">
        <f t="array" ref="N93">_xlfn.IFS(M93&gt;=70,"A",M93&gt;=60,"B",M93&gt;=50,"C",M93&gt;=45,"D",M93&gt;=40,"E",TRUE,"F")</f>
        <v>D</v>
      </c>
      <c r="O93">
        <f t="shared" si="5"/>
        <v>32</v>
      </c>
    </row>
    <row r="94" spans="1:15" x14ac:dyDescent="0.35">
      <c r="A94" s="2" t="s">
        <v>102</v>
      </c>
      <c r="B94" s="2" t="s">
        <v>103</v>
      </c>
      <c r="C94" s="2" t="s">
        <v>18</v>
      </c>
      <c r="D94" s="2" t="s">
        <v>14</v>
      </c>
      <c r="E94" s="2" t="s">
        <v>17</v>
      </c>
      <c r="F94" s="2">
        <v>49</v>
      </c>
      <c r="G94" s="2">
        <v>69</v>
      </c>
      <c r="H94" s="2">
        <v>48</v>
      </c>
      <c r="I94" s="2">
        <v>54</v>
      </c>
      <c r="J94" s="2">
        <v>61</v>
      </c>
      <c r="K94" s="2">
        <v>58</v>
      </c>
      <c r="L94">
        <f t="shared" si="3"/>
        <v>339</v>
      </c>
      <c r="M94" s="4">
        <f t="shared" si="4"/>
        <v>56.5</v>
      </c>
      <c r="N94" t="str" cm="1">
        <f t="array" ref="N94">_xlfn.IFS(M94&gt;=70,"A",M94&gt;=60,"B",M94&gt;=50,"C",M94&gt;=45,"D",M94&gt;=40,"E",TRUE,"F")</f>
        <v>C</v>
      </c>
      <c r="O94">
        <f t="shared" si="5"/>
        <v>26</v>
      </c>
    </row>
    <row r="95" spans="1:15" x14ac:dyDescent="0.35">
      <c r="A95" s="2" t="s">
        <v>104</v>
      </c>
      <c r="B95" s="2" t="s">
        <v>105</v>
      </c>
      <c r="C95" s="2" t="s">
        <v>18</v>
      </c>
      <c r="D95" s="2" t="s">
        <v>14</v>
      </c>
      <c r="E95" s="2" t="s">
        <v>20</v>
      </c>
      <c r="F95" s="2">
        <v>52</v>
      </c>
      <c r="G95" s="2">
        <v>63</v>
      </c>
      <c r="H95" s="2">
        <v>49</v>
      </c>
      <c r="I95" s="2">
        <v>64</v>
      </c>
      <c r="J95" s="2">
        <v>75</v>
      </c>
      <c r="K95" s="2">
        <v>83</v>
      </c>
      <c r="L95">
        <f t="shared" si="3"/>
        <v>386</v>
      </c>
      <c r="M95" s="4">
        <f t="shared" si="4"/>
        <v>64.333333333333329</v>
      </c>
      <c r="N95" t="str" cm="1">
        <f t="array" ref="N95">_xlfn.IFS(M95&gt;=70,"A",M95&gt;=60,"B",M95&gt;=50,"C",M95&gt;=45,"D",M95&gt;=40,"E",TRUE,"F")</f>
        <v>B</v>
      </c>
      <c r="O95">
        <f t="shared" si="5"/>
        <v>21</v>
      </c>
    </row>
    <row r="96" spans="1:15" x14ac:dyDescent="0.35">
      <c r="A96" s="2" t="s">
        <v>104</v>
      </c>
      <c r="B96" s="2" t="s">
        <v>105</v>
      </c>
      <c r="C96" s="2" t="s">
        <v>18</v>
      </c>
      <c r="D96" s="2" t="s">
        <v>14</v>
      </c>
      <c r="E96" s="2" t="s">
        <v>15</v>
      </c>
      <c r="F96" s="2">
        <v>56</v>
      </c>
      <c r="G96" s="2">
        <v>64</v>
      </c>
      <c r="H96" s="2">
        <v>46</v>
      </c>
      <c r="I96" s="2">
        <v>70</v>
      </c>
      <c r="J96" s="2">
        <v>71</v>
      </c>
      <c r="K96" s="2">
        <v>70</v>
      </c>
      <c r="L96">
        <f t="shared" si="3"/>
        <v>377</v>
      </c>
      <c r="M96" s="4">
        <f t="shared" si="4"/>
        <v>62.833333333333336</v>
      </c>
      <c r="N96" t="str" cm="1">
        <f t="array" ref="N96">_xlfn.IFS(M96&gt;=70,"A",M96&gt;=60,"B",M96&gt;=50,"C",M96&gt;=45,"D",M96&gt;=40,"E",TRUE,"F")</f>
        <v>B</v>
      </c>
      <c r="O96">
        <f t="shared" si="5"/>
        <v>14</v>
      </c>
    </row>
    <row r="97" spans="1:15" x14ac:dyDescent="0.35">
      <c r="A97" s="2" t="s">
        <v>104</v>
      </c>
      <c r="B97" s="2" t="s">
        <v>105</v>
      </c>
      <c r="C97" s="2" t="s">
        <v>18</v>
      </c>
      <c r="D97" s="2" t="s">
        <v>14</v>
      </c>
      <c r="E97" s="2" t="s">
        <v>17</v>
      </c>
      <c r="F97" s="2">
        <v>47</v>
      </c>
      <c r="G97" s="2">
        <v>53</v>
      </c>
      <c r="H97" s="2">
        <v>66</v>
      </c>
      <c r="I97" s="2">
        <v>75</v>
      </c>
      <c r="J97" s="2">
        <v>79</v>
      </c>
      <c r="K97" s="2">
        <v>64</v>
      </c>
      <c r="L97">
        <f t="shared" si="3"/>
        <v>384</v>
      </c>
      <c r="M97" s="4">
        <f t="shared" si="4"/>
        <v>64</v>
      </c>
      <c r="N97" t="str" cm="1">
        <f t="array" ref="N97">_xlfn.IFS(M97&gt;=70,"A",M97&gt;=60,"B",M97&gt;=50,"C",M97&gt;=45,"D",M97&gt;=40,"E",TRUE,"F")</f>
        <v>B</v>
      </c>
      <c r="O97">
        <f t="shared" si="5"/>
        <v>20</v>
      </c>
    </row>
    <row r="98" spans="1:15" x14ac:dyDescent="0.35">
      <c r="A98" s="2" t="s">
        <v>107</v>
      </c>
      <c r="B98" s="2" t="s">
        <v>108</v>
      </c>
      <c r="C98" s="2" t="s">
        <v>18</v>
      </c>
      <c r="D98" s="2" t="s">
        <v>14</v>
      </c>
      <c r="E98" s="2" t="s">
        <v>20</v>
      </c>
      <c r="F98" s="2">
        <v>59</v>
      </c>
      <c r="G98" s="2">
        <v>60</v>
      </c>
      <c r="H98" s="2">
        <v>50</v>
      </c>
      <c r="I98" s="2">
        <v>73</v>
      </c>
      <c r="J98" s="2">
        <v>81</v>
      </c>
      <c r="K98" s="2">
        <v>89</v>
      </c>
      <c r="L98">
        <f t="shared" si="3"/>
        <v>412</v>
      </c>
      <c r="M98" s="4">
        <f t="shared" si="4"/>
        <v>68.666666666666671</v>
      </c>
      <c r="N98" t="str" cm="1">
        <f t="array" ref="N98">_xlfn.IFS(M98&gt;=70,"A",M98&gt;=60,"B",M98&gt;=50,"C",M98&gt;=45,"D",M98&gt;=40,"E",TRUE,"F")</f>
        <v>B</v>
      </c>
      <c r="O98">
        <f t="shared" si="5"/>
        <v>9</v>
      </c>
    </row>
    <row r="99" spans="1:15" x14ac:dyDescent="0.35">
      <c r="A99" s="2" t="s">
        <v>107</v>
      </c>
      <c r="B99" s="2" t="s">
        <v>108</v>
      </c>
      <c r="C99" s="2" t="s">
        <v>18</v>
      </c>
      <c r="D99" s="2" t="s">
        <v>14</v>
      </c>
      <c r="E99" s="2" t="s">
        <v>15</v>
      </c>
      <c r="F99" s="2">
        <v>59</v>
      </c>
      <c r="G99" s="2">
        <v>74</v>
      </c>
      <c r="H99" s="2">
        <v>64</v>
      </c>
      <c r="I99" s="2">
        <v>67</v>
      </c>
      <c r="J99" s="2">
        <v>66</v>
      </c>
      <c r="K99" s="2">
        <v>70</v>
      </c>
      <c r="L99">
        <f t="shared" si="3"/>
        <v>400</v>
      </c>
      <c r="M99" s="4">
        <f t="shared" si="4"/>
        <v>66.666666666666671</v>
      </c>
      <c r="N99" t="str" cm="1">
        <f t="array" ref="N99">_xlfn.IFS(M99&gt;=70,"A",M99&gt;=60,"B",M99&gt;=50,"C",M99&gt;=45,"D",M99&gt;=40,"E",TRUE,"F")</f>
        <v>B</v>
      </c>
      <c r="O99">
        <f t="shared" si="5"/>
        <v>12</v>
      </c>
    </row>
    <row r="100" spans="1:15" x14ac:dyDescent="0.35">
      <c r="A100" s="2" t="s">
        <v>107</v>
      </c>
      <c r="B100" s="2" t="s">
        <v>108</v>
      </c>
      <c r="C100" s="2" t="s">
        <v>18</v>
      </c>
      <c r="D100" s="2" t="s">
        <v>14</v>
      </c>
      <c r="E100" s="2" t="s">
        <v>17</v>
      </c>
      <c r="F100" s="2">
        <v>57</v>
      </c>
      <c r="G100" s="2">
        <v>64</v>
      </c>
      <c r="H100" s="2">
        <v>58</v>
      </c>
      <c r="I100" s="2">
        <v>69</v>
      </c>
      <c r="J100" s="2">
        <v>69</v>
      </c>
      <c r="K100" s="2">
        <v>60</v>
      </c>
      <c r="L100">
        <f t="shared" si="3"/>
        <v>377</v>
      </c>
      <c r="M100" s="4">
        <f t="shared" si="4"/>
        <v>62.833333333333336</v>
      </c>
      <c r="N100" t="str" cm="1">
        <f t="array" ref="N100">_xlfn.IFS(M100&gt;=70,"A",M100&gt;=60,"B",M100&gt;=50,"C",M100&gt;=45,"D",M100&gt;=40,"E",TRUE,"F")</f>
        <v>B</v>
      </c>
      <c r="O100">
        <f t="shared" si="5"/>
        <v>21</v>
      </c>
    </row>
    <row r="101" spans="1:15" x14ac:dyDescent="0.35">
      <c r="A101" s="2" t="s">
        <v>110</v>
      </c>
      <c r="B101" s="2" t="s">
        <v>111</v>
      </c>
      <c r="C101" s="2" t="s">
        <v>18</v>
      </c>
      <c r="D101" s="2" t="s">
        <v>14</v>
      </c>
      <c r="E101" s="2" t="s">
        <v>20</v>
      </c>
      <c r="F101" s="2">
        <v>78</v>
      </c>
      <c r="G101" s="2">
        <v>85</v>
      </c>
      <c r="H101" s="2">
        <v>85</v>
      </c>
      <c r="I101" s="2">
        <v>76</v>
      </c>
      <c r="J101" s="2">
        <v>98</v>
      </c>
      <c r="K101" s="2">
        <v>93</v>
      </c>
      <c r="L101">
        <f t="shared" si="3"/>
        <v>515</v>
      </c>
      <c r="M101" s="4">
        <f t="shared" si="4"/>
        <v>85.833333333333329</v>
      </c>
      <c r="N101" t="str" cm="1">
        <f t="array" ref="N101">_xlfn.IFS(M101&gt;=70,"A",M101&gt;=60,"B",M101&gt;=50,"C",M101&gt;=45,"D",M101&gt;=40,"E",TRUE,"F")</f>
        <v>A</v>
      </c>
      <c r="O101">
        <f t="shared" si="5"/>
        <v>2</v>
      </c>
    </row>
    <row r="102" spans="1:15" x14ac:dyDescent="0.35">
      <c r="A102" s="2" t="s">
        <v>110</v>
      </c>
      <c r="B102" s="2" t="s">
        <v>111</v>
      </c>
      <c r="C102" s="2" t="s">
        <v>18</v>
      </c>
      <c r="D102" s="2" t="s">
        <v>14</v>
      </c>
      <c r="E102" s="2" t="s">
        <v>15</v>
      </c>
      <c r="F102" s="2">
        <v>76</v>
      </c>
      <c r="G102" s="2">
        <v>64</v>
      </c>
      <c r="H102" s="2">
        <v>77</v>
      </c>
      <c r="I102" s="2">
        <v>81</v>
      </c>
      <c r="J102" s="2">
        <v>61</v>
      </c>
      <c r="K102" s="2">
        <v>83</v>
      </c>
      <c r="L102">
        <f t="shared" si="3"/>
        <v>442</v>
      </c>
      <c r="M102" s="4">
        <f t="shared" si="4"/>
        <v>73.666666666666671</v>
      </c>
      <c r="N102" t="str" cm="1">
        <f t="array" ref="N102">_xlfn.IFS(M102&gt;=70,"A",M102&gt;=60,"B",M102&gt;=50,"C",M102&gt;=45,"D",M102&gt;=40,"E",TRUE,"F")</f>
        <v>A</v>
      </c>
      <c r="O102">
        <f t="shared" si="5"/>
        <v>6</v>
      </c>
    </row>
    <row r="103" spans="1:15" x14ac:dyDescent="0.35">
      <c r="A103" s="2" t="s">
        <v>110</v>
      </c>
      <c r="B103" s="2" t="s">
        <v>111</v>
      </c>
      <c r="C103" s="2" t="s">
        <v>18</v>
      </c>
      <c r="D103" s="2" t="s">
        <v>14</v>
      </c>
      <c r="E103" s="2" t="s">
        <v>17</v>
      </c>
      <c r="F103" s="2">
        <v>76</v>
      </c>
      <c r="G103" s="2">
        <v>79</v>
      </c>
      <c r="H103" s="2">
        <v>78</v>
      </c>
      <c r="I103" s="2">
        <v>81</v>
      </c>
      <c r="J103" s="2">
        <v>93</v>
      </c>
      <c r="K103" s="2">
        <v>81</v>
      </c>
      <c r="L103">
        <f t="shared" si="3"/>
        <v>488</v>
      </c>
      <c r="M103" s="4">
        <f t="shared" si="4"/>
        <v>81.333333333333329</v>
      </c>
      <c r="N103" t="str" cm="1">
        <f t="array" ref="N103">_xlfn.IFS(M103&gt;=70,"A",M103&gt;=60,"B",M103&gt;=50,"C",M103&gt;=45,"D",M103&gt;=40,"E",TRUE,"F")</f>
        <v>A</v>
      </c>
      <c r="O103">
        <f t="shared" si="5"/>
        <v>4</v>
      </c>
    </row>
    <row r="104" spans="1:15" x14ac:dyDescent="0.35">
      <c r="A104" s="2" t="s">
        <v>115</v>
      </c>
      <c r="B104" s="2" t="s">
        <v>116</v>
      </c>
      <c r="C104" s="2" t="s">
        <v>18</v>
      </c>
      <c r="D104" s="2" t="s">
        <v>14</v>
      </c>
      <c r="E104" s="2" t="s">
        <v>20</v>
      </c>
      <c r="F104" s="2">
        <v>74</v>
      </c>
      <c r="G104" s="2">
        <v>76</v>
      </c>
      <c r="H104" s="2">
        <v>63</v>
      </c>
      <c r="I104" s="2">
        <v>78</v>
      </c>
      <c r="J104" s="2">
        <v>76</v>
      </c>
      <c r="K104" s="2">
        <v>91</v>
      </c>
      <c r="L104">
        <f t="shared" si="3"/>
        <v>458</v>
      </c>
      <c r="M104" s="4">
        <f t="shared" si="4"/>
        <v>76.333333333333329</v>
      </c>
      <c r="N104" t="str" cm="1">
        <f t="array" ref="N104">_xlfn.IFS(M104&gt;=70,"A",M104&gt;=60,"B",M104&gt;=50,"C",M104&gt;=45,"D",M104&gt;=40,"E",TRUE,"F")</f>
        <v>A</v>
      </c>
      <c r="O104">
        <f t="shared" si="5"/>
        <v>5</v>
      </c>
    </row>
    <row r="105" spans="1:15" x14ac:dyDescent="0.35">
      <c r="A105" s="2" t="s">
        <v>115</v>
      </c>
      <c r="B105" s="2" t="s">
        <v>116</v>
      </c>
      <c r="C105" s="2" t="s">
        <v>18</v>
      </c>
      <c r="D105" s="2" t="s">
        <v>14</v>
      </c>
      <c r="E105" s="2" t="s">
        <v>15</v>
      </c>
      <c r="F105" s="2">
        <v>81</v>
      </c>
      <c r="G105" s="2">
        <v>85</v>
      </c>
      <c r="H105" s="2">
        <v>80</v>
      </c>
      <c r="I105" s="2">
        <v>84</v>
      </c>
      <c r="J105" s="2">
        <v>88</v>
      </c>
      <c r="K105" s="2">
        <v>90</v>
      </c>
      <c r="L105">
        <f t="shared" si="3"/>
        <v>508</v>
      </c>
      <c r="M105" s="4">
        <f t="shared" si="4"/>
        <v>84.666666666666671</v>
      </c>
      <c r="N105" t="str" cm="1">
        <f t="array" ref="N105">_xlfn.IFS(M105&gt;=70,"A",M105&gt;=60,"B",M105&gt;=50,"C",M105&gt;=45,"D",M105&gt;=40,"E",TRUE,"F")</f>
        <v>A</v>
      </c>
      <c r="O105">
        <f t="shared" si="5"/>
        <v>1</v>
      </c>
    </row>
    <row r="106" spans="1:15" x14ac:dyDescent="0.35">
      <c r="A106" s="2" t="s">
        <v>115</v>
      </c>
      <c r="B106" s="2" t="s">
        <v>116</v>
      </c>
      <c r="C106" s="2" t="s">
        <v>18</v>
      </c>
      <c r="D106" s="2" t="s">
        <v>14</v>
      </c>
      <c r="E106" s="2" t="s">
        <v>17</v>
      </c>
      <c r="F106" s="2">
        <v>82</v>
      </c>
      <c r="G106" s="2">
        <v>83</v>
      </c>
      <c r="H106" s="2">
        <v>77</v>
      </c>
      <c r="I106" s="2">
        <v>97</v>
      </c>
      <c r="J106" s="2">
        <v>75</v>
      </c>
      <c r="K106" s="2">
        <v>77</v>
      </c>
      <c r="L106">
        <f t="shared" si="3"/>
        <v>491</v>
      </c>
      <c r="M106" s="4">
        <f t="shared" si="4"/>
        <v>81.833333333333329</v>
      </c>
      <c r="N106" t="str" cm="1">
        <f t="array" ref="N106">_xlfn.IFS(M106&gt;=70,"A",M106&gt;=60,"B",M106&gt;=50,"C",M106&gt;=45,"D",M106&gt;=40,"E",TRUE,"F")</f>
        <v>A</v>
      </c>
      <c r="O106">
        <f t="shared" si="5"/>
        <v>2</v>
      </c>
    </row>
    <row r="107" spans="1:15" x14ac:dyDescent="0.35">
      <c r="A107" s="2" t="s">
        <v>117</v>
      </c>
      <c r="B107" s="2" t="s">
        <v>118</v>
      </c>
      <c r="C107" s="2" t="s">
        <v>23</v>
      </c>
      <c r="D107" s="2" t="s">
        <v>14</v>
      </c>
      <c r="E107" s="2" t="s">
        <v>15</v>
      </c>
      <c r="F107" s="2">
        <v>29</v>
      </c>
      <c r="G107" s="2">
        <v>47</v>
      </c>
      <c r="H107" s="2">
        <v>41</v>
      </c>
      <c r="I107" s="2">
        <v>41</v>
      </c>
      <c r="J107" s="2">
        <v>44</v>
      </c>
      <c r="K107" s="2">
        <v>49</v>
      </c>
      <c r="L107">
        <f t="shared" si="3"/>
        <v>251</v>
      </c>
      <c r="M107" s="4">
        <f t="shared" si="4"/>
        <v>41.833333333333336</v>
      </c>
      <c r="N107" t="str" cm="1">
        <f t="array" ref="N107">_xlfn.IFS(M107&gt;=70,"A",M107&gt;=60,"B",M107&gt;=50,"C",M107&gt;=45,"D",M107&gt;=40,"E",TRUE,"F")</f>
        <v>E</v>
      </c>
      <c r="O107">
        <f t="shared" si="5"/>
        <v>39</v>
      </c>
    </row>
    <row r="108" spans="1:15" x14ac:dyDescent="0.35">
      <c r="A108" s="2" t="s">
        <v>117</v>
      </c>
      <c r="B108" s="2" t="s">
        <v>118</v>
      </c>
      <c r="C108" s="2" t="s">
        <v>23</v>
      </c>
      <c r="D108" s="2" t="s">
        <v>14</v>
      </c>
      <c r="E108" s="2" t="s">
        <v>17</v>
      </c>
      <c r="F108" s="2">
        <v>18</v>
      </c>
      <c r="G108" s="2">
        <v>42</v>
      </c>
      <c r="H108" s="2">
        <v>35</v>
      </c>
      <c r="I108" s="2">
        <v>55</v>
      </c>
      <c r="J108" s="2">
        <v>39</v>
      </c>
      <c r="K108" s="2">
        <v>54</v>
      </c>
      <c r="L108">
        <f t="shared" si="3"/>
        <v>243</v>
      </c>
      <c r="M108" s="4">
        <f t="shared" si="4"/>
        <v>40.5</v>
      </c>
      <c r="N108" t="str" cm="1">
        <f t="array" ref="N108">_xlfn.IFS(M108&gt;=70,"A",M108&gt;=60,"B",M108&gt;=50,"C",M108&gt;=45,"D",M108&gt;=40,"E",TRUE,"F")</f>
        <v>E</v>
      </c>
      <c r="O108">
        <f t="shared" si="5"/>
        <v>40</v>
      </c>
    </row>
    <row r="109" spans="1:15" x14ac:dyDescent="0.35">
      <c r="A109" s="2" t="s">
        <v>117</v>
      </c>
      <c r="B109" s="2" t="s">
        <v>118</v>
      </c>
      <c r="C109" s="2" t="s">
        <v>23</v>
      </c>
      <c r="D109" s="2" t="s">
        <v>14</v>
      </c>
      <c r="E109" s="2" t="s">
        <v>20</v>
      </c>
      <c r="F109" s="2">
        <v>17</v>
      </c>
      <c r="G109" s="2">
        <v>46</v>
      </c>
      <c r="H109" s="2">
        <v>40</v>
      </c>
      <c r="I109" s="2">
        <v>41</v>
      </c>
      <c r="J109" s="2">
        <v>43</v>
      </c>
      <c r="K109" s="2">
        <v>44</v>
      </c>
      <c r="L109">
        <f t="shared" si="3"/>
        <v>231</v>
      </c>
      <c r="M109" s="4">
        <f t="shared" si="4"/>
        <v>38.5</v>
      </c>
      <c r="N109" t="str" cm="1">
        <f t="array" ref="N109">_xlfn.IFS(M109&gt;=70,"A",M109&gt;=60,"B",M109&gt;=50,"C",M109&gt;=45,"D",M109&gt;=40,"E",TRUE,"F")</f>
        <v>F</v>
      </c>
      <c r="O109">
        <f t="shared" si="5"/>
        <v>40</v>
      </c>
    </row>
    <row r="110" spans="1:15" x14ac:dyDescent="0.35">
      <c r="A110" s="2" t="s">
        <v>119</v>
      </c>
      <c r="B110" s="2" t="s">
        <v>121</v>
      </c>
      <c r="C110" s="2" t="s">
        <v>23</v>
      </c>
      <c r="D110" s="2" t="s">
        <v>14</v>
      </c>
      <c r="E110" s="2" t="s">
        <v>20</v>
      </c>
      <c r="F110" s="2">
        <v>57</v>
      </c>
      <c r="G110" s="2">
        <v>68</v>
      </c>
      <c r="H110" s="2">
        <v>71</v>
      </c>
      <c r="I110" s="2">
        <v>70</v>
      </c>
      <c r="J110" s="2">
        <v>64</v>
      </c>
      <c r="K110" s="2">
        <v>79</v>
      </c>
      <c r="L110">
        <f t="shared" si="3"/>
        <v>409</v>
      </c>
      <c r="M110" s="4">
        <f t="shared" si="4"/>
        <v>68.166666666666671</v>
      </c>
      <c r="N110" t="str" cm="1">
        <f t="array" ref="N110">_xlfn.IFS(M110&gt;=70,"A",M110&gt;=60,"B",M110&gt;=50,"C",M110&gt;=45,"D",M110&gt;=40,"E",TRUE,"F")</f>
        <v>B</v>
      </c>
      <c r="O110">
        <f t="shared" si="5"/>
        <v>12</v>
      </c>
    </row>
    <row r="111" spans="1:15" x14ac:dyDescent="0.35">
      <c r="A111" s="2" t="s">
        <v>119</v>
      </c>
      <c r="B111" s="2" t="s">
        <v>121</v>
      </c>
      <c r="C111" s="2" t="s">
        <v>23</v>
      </c>
      <c r="D111" s="2" t="s">
        <v>14</v>
      </c>
      <c r="E111" s="2" t="s">
        <v>15</v>
      </c>
      <c r="F111" s="2">
        <v>56</v>
      </c>
      <c r="G111" s="2">
        <v>58</v>
      </c>
      <c r="H111" s="2">
        <v>44</v>
      </c>
      <c r="I111" s="2">
        <v>61</v>
      </c>
      <c r="J111" s="2">
        <v>79</v>
      </c>
      <c r="K111" s="2">
        <v>65</v>
      </c>
      <c r="L111">
        <f t="shared" si="3"/>
        <v>363</v>
      </c>
      <c r="M111" s="4">
        <f t="shared" si="4"/>
        <v>60.5</v>
      </c>
      <c r="N111" t="str" cm="1">
        <f t="array" ref="N111">_xlfn.IFS(M111&gt;=70,"A",M111&gt;=60,"B",M111&gt;=50,"C",M111&gt;=45,"D",M111&gt;=40,"E",TRUE,"F")</f>
        <v>B</v>
      </c>
      <c r="O111">
        <f t="shared" si="5"/>
        <v>18</v>
      </c>
    </row>
    <row r="112" spans="1:15" x14ac:dyDescent="0.35">
      <c r="A112" s="2" t="s">
        <v>119</v>
      </c>
      <c r="B112" s="2" t="s">
        <v>121</v>
      </c>
      <c r="C112" s="2" t="s">
        <v>23</v>
      </c>
      <c r="D112" s="2" t="s">
        <v>14</v>
      </c>
      <c r="E112" s="2" t="s">
        <v>17</v>
      </c>
      <c r="F112" s="2">
        <v>60</v>
      </c>
      <c r="G112" s="2">
        <v>61</v>
      </c>
      <c r="H112" s="2">
        <v>63</v>
      </c>
      <c r="I112" s="2">
        <v>68</v>
      </c>
      <c r="J112" s="2">
        <v>66</v>
      </c>
      <c r="K112" s="2">
        <v>76</v>
      </c>
      <c r="L112">
        <f t="shared" si="3"/>
        <v>394</v>
      </c>
      <c r="M112" s="4">
        <f t="shared" si="4"/>
        <v>65.666666666666671</v>
      </c>
      <c r="N112" t="str" cm="1">
        <f t="array" ref="N112">_xlfn.IFS(M112&gt;=70,"A",M112&gt;=60,"B",M112&gt;=50,"C",M112&gt;=45,"D",M112&gt;=40,"E",TRUE,"F")</f>
        <v>B</v>
      </c>
      <c r="O112">
        <f t="shared" si="5"/>
        <v>16</v>
      </c>
    </row>
    <row r="113" spans="1:15" x14ac:dyDescent="0.35">
      <c r="A113" s="2" t="s">
        <v>122</v>
      </c>
      <c r="B113" s="2" t="s">
        <v>123</v>
      </c>
      <c r="C113" s="2" t="s">
        <v>23</v>
      </c>
      <c r="D113" s="2" t="s">
        <v>14</v>
      </c>
      <c r="E113" s="2" t="s">
        <v>20</v>
      </c>
      <c r="F113" s="2">
        <v>53</v>
      </c>
      <c r="G113" s="2">
        <v>51</v>
      </c>
      <c r="H113" s="2">
        <v>43</v>
      </c>
      <c r="I113" s="2">
        <v>49</v>
      </c>
      <c r="J113" s="2">
        <v>50</v>
      </c>
      <c r="K113" s="2">
        <v>57</v>
      </c>
      <c r="L113">
        <f t="shared" si="3"/>
        <v>303</v>
      </c>
      <c r="M113" s="4">
        <f t="shared" si="4"/>
        <v>50.5</v>
      </c>
      <c r="N113" t="str" cm="1">
        <f t="array" ref="N113">_xlfn.IFS(M113&gt;=70,"A",M113&gt;=60,"B",M113&gt;=50,"C",M113&gt;=45,"D",M113&gt;=40,"E",TRUE,"F")</f>
        <v>C</v>
      </c>
      <c r="O113">
        <f t="shared" si="5"/>
        <v>36</v>
      </c>
    </row>
    <row r="114" spans="1:15" x14ac:dyDescent="0.35">
      <c r="A114" s="2" t="s">
        <v>122</v>
      </c>
      <c r="B114" s="2" t="s">
        <v>123</v>
      </c>
      <c r="C114" s="2" t="s">
        <v>23</v>
      </c>
      <c r="D114" s="2" t="s">
        <v>14</v>
      </c>
      <c r="E114" s="2" t="s">
        <v>15</v>
      </c>
      <c r="F114" s="2">
        <v>48</v>
      </c>
      <c r="G114" s="2">
        <v>58</v>
      </c>
      <c r="H114" s="2">
        <v>53</v>
      </c>
      <c r="I114" s="2">
        <v>63</v>
      </c>
      <c r="J114" s="2">
        <v>62</v>
      </c>
      <c r="K114" s="2">
        <v>63</v>
      </c>
      <c r="L114">
        <f t="shared" si="3"/>
        <v>347</v>
      </c>
      <c r="M114" s="4">
        <f t="shared" si="4"/>
        <v>57.833333333333336</v>
      </c>
      <c r="N114" t="str" cm="1">
        <f t="array" ref="N114">_xlfn.IFS(M114&gt;=70,"A",M114&gt;=60,"B",M114&gt;=50,"C",M114&gt;=45,"D",M114&gt;=40,"E",TRUE,"F")</f>
        <v>C</v>
      </c>
      <c r="O114">
        <f t="shared" si="5"/>
        <v>23</v>
      </c>
    </row>
    <row r="115" spans="1:15" x14ac:dyDescent="0.35">
      <c r="A115" s="2" t="s">
        <v>122</v>
      </c>
      <c r="B115" s="2" t="s">
        <v>123</v>
      </c>
      <c r="C115" s="2" t="s">
        <v>23</v>
      </c>
      <c r="D115" s="2" t="s">
        <v>14</v>
      </c>
      <c r="E115" s="2" t="s">
        <v>17</v>
      </c>
      <c r="F115" s="2">
        <v>54</v>
      </c>
      <c r="G115" s="2">
        <v>68</v>
      </c>
      <c r="H115" s="2">
        <v>51</v>
      </c>
      <c r="I115" s="2">
        <v>62</v>
      </c>
      <c r="J115" s="2">
        <v>57</v>
      </c>
      <c r="K115" s="2">
        <v>62</v>
      </c>
      <c r="L115">
        <f t="shared" si="3"/>
        <v>354</v>
      </c>
      <c r="M115" s="4">
        <f t="shared" si="4"/>
        <v>59</v>
      </c>
      <c r="N115" t="str" cm="1">
        <f t="array" ref="N115">_xlfn.IFS(M115&gt;=70,"A",M115&gt;=60,"B",M115&gt;=50,"C",M115&gt;=45,"D",M115&gt;=40,"E",TRUE,"F")</f>
        <v>C</v>
      </c>
      <c r="O115">
        <f t="shared" si="5"/>
        <v>24</v>
      </c>
    </row>
    <row r="116" spans="1:15" x14ac:dyDescent="0.35">
      <c r="A116" s="2" t="s">
        <v>124</v>
      </c>
      <c r="B116" s="2" t="s">
        <v>125</v>
      </c>
      <c r="C116" s="2" t="s">
        <v>18</v>
      </c>
      <c r="D116" s="2" t="s">
        <v>14</v>
      </c>
      <c r="E116" s="2" t="s">
        <v>20</v>
      </c>
      <c r="F116" s="2">
        <v>50</v>
      </c>
      <c r="G116" s="2">
        <v>56</v>
      </c>
      <c r="H116" s="2">
        <v>52</v>
      </c>
      <c r="I116" s="2">
        <v>68</v>
      </c>
      <c r="J116" s="2">
        <v>58</v>
      </c>
      <c r="K116" s="2">
        <v>67</v>
      </c>
      <c r="L116">
        <f t="shared" si="3"/>
        <v>351</v>
      </c>
      <c r="M116" s="4">
        <f t="shared" si="4"/>
        <v>58.5</v>
      </c>
      <c r="N116" t="str" cm="1">
        <f t="array" ref="N116">_xlfn.IFS(M116&gt;=70,"A",M116&gt;=60,"B",M116&gt;=50,"C",M116&gt;=45,"D",M116&gt;=40,"E",TRUE,"F")</f>
        <v>C</v>
      </c>
      <c r="O116">
        <f t="shared" si="5"/>
        <v>28</v>
      </c>
    </row>
    <row r="117" spans="1:15" x14ac:dyDescent="0.35">
      <c r="A117" s="2" t="s">
        <v>124</v>
      </c>
      <c r="B117" s="2" t="s">
        <v>125</v>
      </c>
      <c r="C117" s="2" t="s">
        <v>18</v>
      </c>
      <c r="D117" s="2" t="s">
        <v>14</v>
      </c>
      <c r="E117" s="2" t="s">
        <v>15</v>
      </c>
      <c r="F117" s="2">
        <v>53</v>
      </c>
      <c r="G117" s="2">
        <v>44</v>
      </c>
      <c r="H117" s="2">
        <v>44</v>
      </c>
      <c r="I117" s="2">
        <v>50</v>
      </c>
      <c r="J117" s="2">
        <v>45</v>
      </c>
      <c r="K117" s="2">
        <v>69</v>
      </c>
      <c r="L117">
        <f t="shared" si="3"/>
        <v>305</v>
      </c>
      <c r="M117" s="4">
        <f t="shared" si="4"/>
        <v>50.833333333333336</v>
      </c>
      <c r="N117" t="str" cm="1">
        <f t="array" ref="N117">_xlfn.IFS(M117&gt;=70,"A",M117&gt;=60,"B",M117&gt;=50,"C",M117&gt;=45,"D",M117&gt;=40,"E",TRUE,"F")</f>
        <v>C</v>
      </c>
      <c r="O117">
        <f t="shared" si="5"/>
        <v>31</v>
      </c>
    </row>
    <row r="118" spans="1:15" x14ac:dyDescent="0.35">
      <c r="A118" s="2" t="s">
        <v>124</v>
      </c>
      <c r="B118" s="2" t="s">
        <v>125</v>
      </c>
      <c r="C118" s="2" t="s">
        <v>18</v>
      </c>
      <c r="D118" s="2" t="s">
        <v>14</v>
      </c>
      <c r="E118" s="2" t="s">
        <v>17</v>
      </c>
      <c r="F118" s="2">
        <v>52</v>
      </c>
      <c r="G118" s="2">
        <v>72</v>
      </c>
      <c r="H118" s="2">
        <v>46</v>
      </c>
      <c r="I118" s="2">
        <v>70</v>
      </c>
      <c r="J118" s="2">
        <v>57</v>
      </c>
      <c r="K118" s="2">
        <v>61</v>
      </c>
      <c r="L118">
        <f t="shared" si="3"/>
        <v>358</v>
      </c>
      <c r="M118" s="4">
        <f t="shared" si="4"/>
        <v>59.666666666666664</v>
      </c>
      <c r="N118" t="str" cm="1">
        <f t="array" ref="N118">_xlfn.IFS(M118&gt;=70,"A",M118&gt;=60,"B",M118&gt;=50,"C",M118&gt;=45,"D",M118&gt;=40,"E",TRUE,"F")</f>
        <v>C</v>
      </c>
      <c r="O118">
        <f t="shared" si="5"/>
        <v>22</v>
      </c>
    </row>
    <row r="119" spans="1:15" x14ac:dyDescent="0.35">
      <c r="A119" s="2" t="s">
        <v>127</v>
      </c>
      <c r="B119" s="2" t="s">
        <v>128</v>
      </c>
      <c r="C119" s="2" t="s">
        <v>23</v>
      </c>
      <c r="D119" s="2" t="s">
        <v>14</v>
      </c>
      <c r="E119" s="2" t="s">
        <v>20</v>
      </c>
      <c r="F119" s="2">
        <v>73</v>
      </c>
      <c r="G119" s="2">
        <v>68</v>
      </c>
      <c r="H119" s="2">
        <v>63</v>
      </c>
      <c r="I119" s="2">
        <v>62</v>
      </c>
      <c r="J119" s="2">
        <v>79</v>
      </c>
      <c r="K119" s="2">
        <v>67</v>
      </c>
      <c r="L119">
        <f t="shared" si="3"/>
        <v>412</v>
      </c>
      <c r="M119" s="4">
        <f t="shared" si="4"/>
        <v>68.666666666666671</v>
      </c>
      <c r="N119" t="str" cm="1">
        <f t="array" ref="N119">_xlfn.IFS(M119&gt;=70,"A",M119&gt;=60,"B",M119&gt;=50,"C",M119&gt;=45,"D",M119&gt;=40,"E",TRUE,"F")</f>
        <v>B</v>
      </c>
      <c r="O119">
        <f t="shared" si="5"/>
        <v>9</v>
      </c>
    </row>
    <row r="120" spans="1:15" x14ac:dyDescent="0.35">
      <c r="A120" s="2" t="s">
        <v>127</v>
      </c>
      <c r="B120" s="2" t="s">
        <v>128</v>
      </c>
      <c r="C120" s="2" t="s">
        <v>23</v>
      </c>
      <c r="D120" s="2" t="s">
        <v>14</v>
      </c>
      <c r="E120" s="2" t="s">
        <v>15</v>
      </c>
      <c r="F120" s="2">
        <v>54</v>
      </c>
      <c r="G120" s="2">
        <v>64</v>
      </c>
      <c r="H120" s="2">
        <v>58</v>
      </c>
      <c r="I120" s="2">
        <v>65</v>
      </c>
      <c r="J120" s="2">
        <v>67</v>
      </c>
      <c r="K120" s="2">
        <v>66</v>
      </c>
      <c r="L120">
        <f t="shared" si="3"/>
        <v>374</v>
      </c>
      <c r="M120" s="4">
        <f t="shared" si="4"/>
        <v>62.333333333333336</v>
      </c>
      <c r="N120" t="str" cm="1">
        <f t="array" ref="N120">_xlfn.IFS(M120&gt;=70,"A",M120&gt;=60,"B",M120&gt;=50,"C",M120&gt;=45,"D",M120&gt;=40,"E",TRUE,"F")</f>
        <v>B</v>
      </c>
      <c r="O120">
        <f t="shared" si="5"/>
        <v>15</v>
      </c>
    </row>
    <row r="121" spans="1:15" x14ac:dyDescent="0.35">
      <c r="A121" s="2" t="s">
        <v>127</v>
      </c>
      <c r="B121" s="2" t="s">
        <v>128</v>
      </c>
      <c r="C121" s="2" t="s">
        <v>23</v>
      </c>
      <c r="D121" s="2" t="s">
        <v>14</v>
      </c>
      <c r="E121" s="2" t="s">
        <v>17</v>
      </c>
      <c r="F121" s="2">
        <v>61</v>
      </c>
      <c r="G121" s="2">
        <v>58</v>
      </c>
      <c r="H121" s="2">
        <v>57</v>
      </c>
      <c r="I121" s="2">
        <v>81</v>
      </c>
      <c r="J121" s="2">
        <v>68</v>
      </c>
      <c r="K121" s="2">
        <v>65</v>
      </c>
      <c r="L121">
        <f t="shared" si="3"/>
        <v>390</v>
      </c>
      <c r="M121" s="4">
        <f t="shared" si="4"/>
        <v>65</v>
      </c>
      <c r="N121" t="str" cm="1">
        <f t="array" ref="N121">_xlfn.IFS(M121&gt;=70,"A",M121&gt;=60,"B",M121&gt;=50,"C",M121&gt;=45,"D",M121&gt;=40,"E",TRUE,"F")</f>
        <v>B</v>
      </c>
      <c r="O121">
        <f t="shared" si="5"/>
        <v>18</v>
      </c>
    </row>
    <row r="122" spans="1:15" x14ac:dyDescent="0.35">
      <c r="A122" s="2" t="s">
        <v>129</v>
      </c>
      <c r="B122" s="2" t="s">
        <v>130</v>
      </c>
      <c r="C122" s="2" t="s">
        <v>18</v>
      </c>
      <c r="D122" s="2" t="s">
        <v>131</v>
      </c>
      <c r="E122" s="2" t="s">
        <v>15</v>
      </c>
      <c r="F122" s="2">
        <v>45</v>
      </c>
      <c r="G122" s="2">
        <v>59</v>
      </c>
      <c r="H122" s="2">
        <v>54</v>
      </c>
      <c r="I122" s="2">
        <v>57</v>
      </c>
      <c r="J122" s="2">
        <v>57</v>
      </c>
      <c r="K122" s="2">
        <v>68</v>
      </c>
      <c r="L122">
        <f t="shared" si="3"/>
        <v>340</v>
      </c>
      <c r="M122" s="4">
        <f t="shared" si="4"/>
        <v>56.666666666666664</v>
      </c>
      <c r="N122" t="str" cm="1">
        <f t="array" ref="N122">_xlfn.IFS(M122&gt;=70,"A",M122&gt;=60,"B",M122&gt;=50,"C",M122&gt;=45,"D",M122&gt;=40,"E",TRUE,"F")</f>
        <v>C</v>
      </c>
      <c r="O122">
        <f t="shared" si="5"/>
        <v>24</v>
      </c>
    </row>
    <row r="123" spans="1:15" x14ac:dyDescent="0.35">
      <c r="A123" s="2" t="s">
        <v>129</v>
      </c>
      <c r="B123" s="2" t="s">
        <v>130</v>
      </c>
      <c r="C123" s="2" t="s">
        <v>18</v>
      </c>
      <c r="D123" s="2" t="s">
        <v>131</v>
      </c>
      <c r="E123" s="2" t="s">
        <v>17</v>
      </c>
      <c r="F123" s="2">
        <v>65</v>
      </c>
      <c r="G123" s="2">
        <v>52</v>
      </c>
      <c r="H123" s="2">
        <v>58</v>
      </c>
      <c r="I123" s="2">
        <v>72</v>
      </c>
      <c r="J123" s="2">
        <v>67</v>
      </c>
      <c r="K123" s="2">
        <v>57</v>
      </c>
      <c r="L123">
        <f t="shared" si="3"/>
        <v>371</v>
      </c>
      <c r="M123" s="4">
        <f t="shared" si="4"/>
        <v>61.833333333333336</v>
      </c>
      <c r="N123" t="str" cm="1">
        <f t="array" ref="N123">_xlfn.IFS(M123&gt;=70,"A",M123&gt;=60,"B",M123&gt;=50,"C",M123&gt;=45,"D",M123&gt;=40,"E",TRUE,"F")</f>
        <v>B</v>
      </c>
      <c r="O123">
        <f t="shared" si="5"/>
        <v>19</v>
      </c>
    </row>
    <row r="124" spans="1:15" x14ac:dyDescent="0.35">
      <c r="A124" s="2" t="s">
        <v>129</v>
      </c>
      <c r="B124" s="2" t="s">
        <v>130</v>
      </c>
      <c r="C124" s="2" t="s">
        <v>18</v>
      </c>
      <c r="D124" s="2" t="s">
        <v>131</v>
      </c>
      <c r="E124" s="2" t="s">
        <v>20</v>
      </c>
      <c r="F124" s="2">
        <v>48</v>
      </c>
      <c r="G124" s="2">
        <v>53</v>
      </c>
      <c r="H124" s="2">
        <v>49</v>
      </c>
      <c r="I124" s="2">
        <v>56</v>
      </c>
      <c r="J124" s="2">
        <v>63</v>
      </c>
      <c r="K124" s="2">
        <v>59</v>
      </c>
      <c r="L124">
        <f t="shared" si="3"/>
        <v>328</v>
      </c>
      <c r="M124" s="4">
        <f t="shared" si="4"/>
        <v>54.666666666666664</v>
      </c>
      <c r="N124" t="str" cm="1">
        <f t="array" ref="N124">_xlfn.IFS(M124&gt;=70,"A",M124&gt;=60,"B",M124&gt;=50,"C",M124&gt;=45,"D",M124&gt;=40,"E",TRUE,"F")</f>
        <v>C</v>
      </c>
      <c r="O124">
        <f t="shared" si="5"/>
        <v>33</v>
      </c>
    </row>
    <row r="125" spans="1:15" x14ac:dyDescent="0.35">
      <c r="A125" s="2" t="s">
        <v>133</v>
      </c>
      <c r="B125" s="2" t="s">
        <v>134</v>
      </c>
      <c r="C125" s="2" t="s">
        <v>18</v>
      </c>
      <c r="D125" s="2" t="s">
        <v>131</v>
      </c>
      <c r="E125" s="2" t="s">
        <v>15</v>
      </c>
      <c r="F125" s="2">
        <v>59</v>
      </c>
      <c r="G125" s="2">
        <v>60</v>
      </c>
      <c r="H125" s="2">
        <v>54</v>
      </c>
      <c r="I125" s="2">
        <v>68</v>
      </c>
      <c r="J125" s="2">
        <v>65</v>
      </c>
      <c r="K125" s="2">
        <v>67</v>
      </c>
      <c r="L125">
        <f t="shared" si="3"/>
        <v>373</v>
      </c>
      <c r="M125" s="4">
        <f t="shared" si="4"/>
        <v>62.166666666666664</v>
      </c>
      <c r="N125" t="str" cm="1">
        <f t="array" ref="N125">_xlfn.IFS(M125&gt;=70,"A",M125&gt;=60,"B",M125&gt;=50,"C",M125&gt;=45,"D",M125&gt;=40,"E",TRUE,"F")</f>
        <v>B</v>
      </c>
      <c r="O125">
        <f t="shared" si="5"/>
        <v>16</v>
      </c>
    </row>
    <row r="126" spans="1:15" x14ac:dyDescent="0.35">
      <c r="A126" s="2" t="s">
        <v>133</v>
      </c>
      <c r="B126" s="2" t="s">
        <v>134</v>
      </c>
      <c r="C126" s="2" t="s">
        <v>18</v>
      </c>
      <c r="D126" s="2" t="s">
        <v>131</v>
      </c>
      <c r="E126" s="2" t="s">
        <v>17</v>
      </c>
      <c r="F126" s="2">
        <v>64</v>
      </c>
      <c r="G126" s="2">
        <v>67</v>
      </c>
      <c r="H126" s="2">
        <v>60</v>
      </c>
      <c r="I126" s="2">
        <v>72</v>
      </c>
      <c r="J126" s="2">
        <v>69</v>
      </c>
      <c r="K126" s="2">
        <v>89</v>
      </c>
      <c r="L126">
        <f t="shared" si="3"/>
        <v>421</v>
      </c>
      <c r="M126" s="4">
        <f t="shared" si="4"/>
        <v>70.166666666666671</v>
      </c>
      <c r="N126" t="str" cm="1">
        <f t="array" ref="N126">_xlfn.IFS(M126&gt;=70,"A",M126&gt;=60,"B",M126&gt;=50,"C",M126&gt;=45,"D",M126&gt;=40,"E",TRUE,"F")</f>
        <v>A</v>
      </c>
      <c r="O126">
        <f t="shared" si="5"/>
        <v>8</v>
      </c>
    </row>
    <row r="127" spans="1:15" x14ac:dyDescent="0.35">
      <c r="A127" s="2" t="s">
        <v>133</v>
      </c>
      <c r="B127" s="2" t="s">
        <v>134</v>
      </c>
      <c r="C127" s="2" t="s">
        <v>18</v>
      </c>
      <c r="D127" s="2" t="s">
        <v>131</v>
      </c>
      <c r="E127" s="2" t="s">
        <v>20</v>
      </c>
      <c r="F127" s="2">
        <v>68</v>
      </c>
      <c r="G127" s="2">
        <v>74</v>
      </c>
      <c r="H127" s="2">
        <v>73</v>
      </c>
      <c r="I127" s="2">
        <v>70</v>
      </c>
      <c r="J127" s="2">
        <v>79</v>
      </c>
      <c r="K127" s="2">
        <v>72</v>
      </c>
      <c r="L127">
        <f t="shared" si="3"/>
        <v>436</v>
      </c>
      <c r="M127" s="4">
        <f t="shared" si="4"/>
        <v>72.666666666666671</v>
      </c>
      <c r="N127" t="str" cm="1">
        <f t="array" ref="N127">_xlfn.IFS(M127&gt;=70,"A",M127&gt;=60,"B",M127&gt;=50,"C",M127&gt;=45,"D",M127&gt;=40,"E",TRUE,"F")</f>
        <v>A</v>
      </c>
      <c r="O127">
        <f t="shared" si="5"/>
        <v>8</v>
      </c>
    </row>
    <row r="128" spans="1:15" x14ac:dyDescent="0.35">
      <c r="A128" s="2" t="s">
        <v>136</v>
      </c>
      <c r="B128" s="2" t="s">
        <v>138</v>
      </c>
      <c r="C128" s="2" t="s">
        <v>23</v>
      </c>
      <c r="D128" s="2" t="s">
        <v>131</v>
      </c>
      <c r="E128" s="2" t="s">
        <v>15</v>
      </c>
      <c r="F128" s="2">
        <v>48</v>
      </c>
      <c r="G128" s="2">
        <v>55</v>
      </c>
      <c r="H128" s="2">
        <v>61</v>
      </c>
      <c r="I128" s="2">
        <v>51</v>
      </c>
      <c r="J128" s="2">
        <v>65</v>
      </c>
      <c r="K128" s="2">
        <v>60</v>
      </c>
      <c r="L128">
        <f t="shared" si="3"/>
        <v>340</v>
      </c>
      <c r="M128" s="4">
        <f t="shared" si="4"/>
        <v>56.666666666666664</v>
      </c>
      <c r="N128" t="str" cm="1">
        <f t="array" ref="N128">_xlfn.IFS(M128&gt;=70,"A",M128&gt;=60,"B",M128&gt;=50,"C",M128&gt;=45,"D",M128&gt;=40,"E",TRUE,"F")</f>
        <v>C</v>
      </c>
      <c r="O128">
        <f t="shared" si="5"/>
        <v>24</v>
      </c>
    </row>
    <row r="129" spans="1:15" x14ac:dyDescent="0.35">
      <c r="A129" s="2" t="s">
        <v>136</v>
      </c>
      <c r="B129" s="2" t="s">
        <v>138</v>
      </c>
      <c r="C129" s="2" t="s">
        <v>23</v>
      </c>
      <c r="D129" s="2" t="s">
        <v>131</v>
      </c>
      <c r="E129" s="2" t="s">
        <v>17</v>
      </c>
      <c r="F129" s="2">
        <v>61</v>
      </c>
      <c r="G129" s="2">
        <v>57</v>
      </c>
      <c r="H129" s="2">
        <v>73</v>
      </c>
      <c r="I129" s="2">
        <v>70</v>
      </c>
      <c r="J129" s="2">
        <v>57</v>
      </c>
      <c r="K129" s="2">
        <v>80</v>
      </c>
      <c r="L129">
        <f t="shared" si="3"/>
        <v>398</v>
      </c>
      <c r="M129" s="4">
        <f t="shared" si="4"/>
        <v>66.333333333333329</v>
      </c>
      <c r="N129" t="str" cm="1">
        <f t="array" ref="N129">_xlfn.IFS(M129&gt;=70,"A",M129&gt;=60,"B",M129&gt;=50,"C",M129&gt;=45,"D",M129&gt;=40,"E",TRUE,"F")</f>
        <v>B</v>
      </c>
      <c r="O129">
        <f t="shared" si="5"/>
        <v>17</v>
      </c>
    </row>
    <row r="130" spans="1:15" x14ac:dyDescent="0.35">
      <c r="A130" s="2" t="s">
        <v>136</v>
      </c>
      <c r="B130" s="2" t="s">
        <v>138</v>
      </c>
      <c r="C130" s="2" t="s">
        <v>23</v>
      </c>
      <c r="D130" s="2" t="s">
        <v>131</v>
      </c>
      <c r="E130" s="2" t="s">
        <v>20</v>
      </c>
      <c r="F130" s="2">
        <v>57</v>
      </c>
      <c r="G130" s="2">
        <v>59</v>
      </c>
      <c r="H130" s="2">
        <v>55</v>
      </c>
      <c r="I130" s="2">
        <v>71</v>
      </c>
      <c r="J130" s="2">
        <v>79</v>
      </c>
      <c r="K130" s="2">
        <v>66</v>
      </c>
      <c r="L130">
        <f t="shared" ref="L130:L193" si="6">SUM(F130:K130)</f>
        <v>387</v>
      </c>
      <c r="M130" s="4">
        <f t="shared" ref="M130:M193" si="7">AVERAGE(F130:K130)</f>
        <v>64.5</v>
      </c>
      <c r="N130" t="str" cm="1">
        <f t="array" ref="N130">_xlfn.IFS(M130&gt;=70,"A",M130&gt;=60,"B",M130&gt;=50,"C",M130&gt;=45,"D",M130&gt;=40,"E",TRUE,"F")</f>
        <v>B</v>
      </c>
      <c r="O130">
        <f t="shared" ref="O130:O193" si="8">COUNTIFS($D$2:$D$721,D130,$E$2:$E$721,E130,$M$2:$M$721,"&gt;"&amp;M130)+1</f>
        <v>19</v>
      </c>
    </row>
    <row r="131" spans="1:15" x14ac:dyDescent="0.35">
      <c r="A131" s="2" t="s">
        <v>139</v>
      </c>
      <c r="B131" s="2" t="s">
        <v>140</v>
      </c>
      <c r="C131" s="2" t="s">
        <v>23</v>
      </c>
      <c r="D131" s="2" t="s">
        <v>131</v>
      </c>
      <c r="E131" s="2" t="s">
        <v>15</v>
      </c>
      <c r="F131" s="2">
        <v>36</v>
      </c>
      <c r="G131" s="2">
        <v>41</v>
      </c>
      <c r="H131" s="2">
        <v>57</v>
      </c>
      <c r="I131" s="2">
        <v>64</v>
      </c>
      <c r="J131" s="2">
        <v>51</v>
      </c>
      <c r="K131" s="2">
        <v>59</v>
      </c>
      <c r="L131">
        <f t="shared" si="6"/>
        <v>308</v>
      </c>
      <c r="M131" s="4">
        <f t="shared" si="7"/>
        <v>51.333333333333336</v>
      </c>
      <c r="N131" t="str" cm="1">
        <f t="array" ref="N131">_xlfn.IFS(M131&gt;=70,"A",M131&gt;=60,"B",M131&gt;=50,"C",M131&gt;=45,"D",M131&gt;=40,"E",TRUE,"F")</f>
        <v>C</v>
      </c>
      <c r="O131">
        <f t="shared" si="8"/>
        <v>34</v>
      </c>
    </row>
    <row r="132" spans="1:15" x14ac:dyDescent="0.35">
      <c r="A132" s="2" t="s">
        <v>139</v>
      </c>
      <c r="B132" s="2" t="s">
        <v>140</v>
      </c>
      <c r="C132" s="2" t="s">
        <v>23</v>
      </c>
      <c r="D132" s="2" t="s">
        <v>131</v>
      </c>
      <c r="E132" s="2" t="s">
        <v>17</v>
      </c>
      <c r="F132" s="2">
        <v>46</v>
      </c>
      <c r="G132" s="2">
        <v>52</v>
      </c>
      <c r="H132" s="2">
        <v>57</v>
      </c>
      <c r="I132" s="2">
        <v>58</v>
      </c>
      <c r="J132" s="2">
        <v>59</v>
      </c>
      <c r="K132" s="2">
        <v>56</v>
      </c>
      <c r="L132">
        <f t="shared" si="6"/>
        <v>328</v>
      </c>
      <c r="M132" s="4">
        <f t="shared" si="7"/>
        <v>54.666666666666664</v>
      </c>
      <c r="N132" t="str" cm="1">
        <f t="array" ref="N132">_xlfn.IFS(M132&gt;=70,"A",M132&gt;=60,"B",M132&gt;=50,"C",M132&gt;=45,"D",M132&gt;=40,"E",TRUE,"F")</f>
        <v>C</v>
      </c>
      <c r="O132">
        <f t="shared" si="8"/>
        <v>29</v>
      </c>
    </row>
    <row r="133" spans="1:15" x14ac:dyDescent="0.35">
      <c r="A133" s="2" t="s">
        <v>139</v>
      </c>
      <c r="B133" s="2" t="s">
        <v>140</v>
      </c>
      <c r="C133" s="2" t="s">
        <v>23</v>
      </c>
      <c r="D133" s="2" t="s">
        <v>131</v>
      </c>
      <c r="E133" s="2" t="s">
        <v>20</v>
      </c>
      <c r="F133" s="2">
        <v>55</v>
      </c>
      <c r="G133" s="2">
        <v>54</v>
      </c>
      <c r="H133" s="2">
        <v>54</v>
      </c>
      <c r="I133" s="2">
        <v>60</v>
      </c>
      <c r="J133" s="2">
        <v>51</v>
      </c>
      <c r="K133" s="2">
        <v>60</v>
      </c>
      <c r="L133">
        <f t="shared" si="6"/>
        <v>334</v>
      </c>
      <c r="M133" s="4">
        <f t="shared" si="7"/>
        <v>55.666666666666664</v>
      </c>
      <c r="N133" t="str" cm="1">
        <f t="array" ref="N133">_xlfn.IFS(M133&gt;=70,"A",M133&gt;=60,"B",M133&gt;=50,"C",M133&gt;=45,"D",M133&gt;=40,"E",TRUE,"F")</f>
        <v>C</v>
      </c>
      <c r="O133">
        <f t="shared" si="8"/>
        <v>29</v>
      </c>
    </row>
    <row r="134" spans="1:15" x14ac:dyDescent="0.35">
      <c r="A134" s="2" t="s">
        <v>142</v>
      </c>
      <c r="B134" s="2" t="s">
        <v>143</v>
      </c>
      <c r="C134" s="2" t="s">
        <v>23</v>
      </c>
      <c r="D134" s="2" t="s">
        <v>131</v>
      </c>
      <c r="E134" s="2" t="s">
        <v>15</v>
      </c>
      <c r="F134" s="2">
        <v>50</v>
      </c>
      <c r="G134" s="2">
        <v>59</v>
      </c>
      <c r="H134" s="2">
        <v>49</v>
      </c>
      <c r="I134" s="2">
        <v>53</v>
      </c>
      <c r="J134" s="2">
        <v>74</v>
      </c>
      <c r="K134" s="2">
        <v>73</v>
      </c>
      <c r="L134">
        <f t="shared" si="6"/>
        <v>358</v>
      </c>
      <c r="M134" s="4">
        <f t="shared" si="7"/>
        <v>59.666666666666664</v>
      </c>
      <c r="N134" t="str" cm="1">
        <f t="array" ref="N134">_xlfn.IFS(M134&gt;=70,"A",M134&gt;=60,"B",M134&gt;=50,"C",M134&gt;=45,"D",M134&gt;=40,"E",TRUE,"F")</f>
        <v>C</v>
      </c>
      <c r="O134">
        <f t="shared" si="8"/>
        <v>20</v>
      </c>
    </row>
    <row r="135" spans="1:15" x14ac:dyDescent="0.35">
      <c r="A135" s="2" t="s">
        <v>142</v>
      </c>
      <c r="B135" s="2" t="s">
        <v>143</v>
      </c>
      <c r="C135" s="2" t="s">
        <v>23</v>
      </c>
      <c r="D135" s="2" t="s">
        <v>131</v>
      </c>
      <c r="E135" s="2" t="s">
        <v>17</v>
      </c>
      <c r="F135" s="2">
        <v>65</v>
      </c>
      <c r="G135" s="2">
        <v>77</v>
      </c>
      <c r="H135" s="2">
        <v>65</v>
      </c>
      <c r="I135" s="2">
        <v>67</v>
      </c>
      <c r="J135" s="2">
        <v>72</v>
      </c>
      <c r="K135" s="2">
        <v>57</v>
      </c>
      <c r="L135">
        <f t="shared" si="6"/>
        <v>403</v>
      </c>
      <c r="M135" s="4">
        <f t="shared" si="7"/>
        <v>67.166666666666671</v>
      </c>
      <c r="N135" t="str" cm="1">
        <f t="array" ref="N135">_xlfn.IFS(M135&gt;=70,"A",M135&gt;=60,"B",M135&gt;=50,"C",M135&gt;=45,"D",M135&gt;=40,"E",TRUE,"F")</f>
        <v>B</v>
      </c>
      <c r="O135">
        <f t="shared" si="8"/>
        <v>15</v>
      </c>
    </row>
    <row r="136" spans="1:15" x14ac:dyDescent="0.35">
      <c r="A136" s="2" t="s">
        <v>142</v>
      </c>
      <c r="B136" s="2" t="s">
        <v>143</v>
      </c>
      <c r="C136" s="2" t="s">
        <v>23</v>
      </c>
      <c r="D136" s="2" t="s">
        <v>131</v>
      </c>
      <c r="E136" s="2" t="s">
        <v>20</v>
      </c>
      <c r="F136" s="2">
        <v>57</v>
      </c>
      <c r="G136" s="2">
        <v>76</v>
      </c>
      <c r="H136" s="2">
        <v>69</v>
      </c>
      <c r="I136" s="2">
        <v>64</v>
      </c>
      <c r="J136" s="2">
        <v>79</v>
      </c>
      <c r="K136" s="2">
        <v>83</v>
      </c>
      <c r="L136">
        <f t="shared" si="6"/>
        <v>428</v>
      </c>
      <c r="M136" s="4">
        <f t="shared" si="7"/>
        <v>71.333333333333329</v>
      </c>
      <c r="N136" t="str" cm="1">
        <f t="array" ref="N136">_xlfn.IFS(M136&gt;=70,"A",M136&gt;=60,"B",M136&gt;=50,"C",M136&gt;=45,"D",M136&gt;=40,"E",TRUE,"F")</f>
        <v>A</v>
      </c>
      <c r="O136">
        <f t="shared" si="8"/>
        <v>9</v>
      </c>
    </row>
    <row r="137" spans="1:15" x14ac:dyDescent="0.35">
      <c r="A137" s="2" t="s">
        <v>146</v>
      </c>
      <c r="B137" s="2" t="s">
        <v>149</v>
      </c>
      <c r="C137" s="2" t="s">
        <v>23</v>
      </c>
      <c r="D137" s="2" t="s">
        <v>131</v>
      </c>
      <c r="E137" s="2" t="s">
        <v>20</v>
      </c>
      <c r="F137" s="2">
        <v>68</v>
      </c>
      <c r="G137" s="2"/>
      <c r="H137" s="2">
        <v>79</v>
      </c>
      <c r="I137" s="2">
        <v>76</v>
      </c>
      <c r="J137" s="2">
        <v>74</v>
      </c>
      <c r="K137" s="2">
        <v>91</v>
      </c>
      <c r="L137">
        <f t="shared" si="6"/>
        <v>388</v>
      </c>
      <c r="M137" s="4">
        <f t="shared" si="7"/>
        <v>77.599999999999994</v>
      </c>
      <c r="N137" t="str" cm="1">
        <f t="array" ref="N137">_xlfn.IFS(M137&gt;=70,"A",M137&gt;=60,"B",M137&gt;=50,"C",M137&gt;=45,"D",M137&gt;=40,"E",TRUE,"F")</f>
        <v>A</v>
      </c>
      <c r="O137">
        <f t="shared" si="8"/>
        <v>5</v>
      </c>
    </row>
    <row r="138" spans="1:15" x14ac:dyDescent="0.35">
      <c r="A138" s="2" t="s">
        <v>146</v>
      </c>
      <c r="B138" s="2" t="s">
        <v>149</v>
      </c>
      <c r="C138" s="2" t="s">
        <v>23</v>
      </c>
      <c r="D138" s="2" t="s">
        <v>131</v>
      </c>
      <c r="E138" s="2" t="s">
        <v>15</v>
      </c>
      <c r="F138" s="2">
        <v>70</v>
      </c>
      <c r="G138" s="2">
        <v>71</v>
      </c>
      <c r="H138" s="2">
        <v>64</v>
      </c>
      <c r="I138" s="2">
        <v>75</v>
      </c>
      <c r="J138" s="2">
        <v>78</v>
      </c>
      <c r="K138" s="2">
        <v>75</v>
      </c>
      <c r="L138">
        <f t="shared" si="6"/>
        <v>433</v>
      </c>
      <c r="M138" s="4">
        <f t="shared" si="7"/>
        <v>72.166666666666671</v>
      </c>
      <c r="N138" t="str" cm="1">
        <f t="array" ref="N138">_xlfn.IFS(M138&gt;=70,"A",M138&gt;=60,"B",M138&gt;=50,"C",M138&gt;=45,"D",M138&gt;=40,"E",TRUE,"F")</f>
        <v>A</v>
      </c>
      <c r="O138">
        <f t="shared" si="8"/>
        <v>2</v>
      </c>
    </row>
    <row r="139" spans="1:15" x14ac:dyDescent="0.35">
      <c r="A139" s="2" t="s">
        <v>146</v>
      </c>
      <c r="B139" s="2" t="s">
        <v>149</v>
      </c>
      <c r="C139" s="2" t="s">
        <v>23</v>
      </c>
      <c r="D139" s="2" t="s">
        <v>131</v>
      </c>
      <c r="E139" s="2" t="s">
        <v>17</v>
      </c>
      <c r="F139" s="2">
        <v>72</v>
      </c>
      <c r="G139" s="2">
        <v>76</v>
      </c>
      <c r="H139" s="2">
        <v>74</v>
      </c>
      <c r="I139" s="2">
        <v>63</v>
      </c>
      <c r="J139" s="2">
        <v>86</v>
      </c>
      <c r="K139" s="2">
        <v>92</v>
      </c>
      <c r="L139">
        <f t="shared" si="6"/>
        <v>463</v>
      </c>
      <c r="M139" s="4">
        <f t="shared" si="7"/>
        <v>77.166666666666671</v>
      </c>
      <c r="N139" t="str" cm="1">
        <f t="array" ref="N139">_xlfn.IFS(M139&gt;=70,"A",M139&gt;=60,"B",M139&gt;=50,"C",M139&gt;=45,"D",M139&gt;=40,"E",TRUE,"F")</f>
        <v>A</v>
      </c>
      <c r="O139">
        <f t="shared" si="8"/>
        <v>4</v>
      </c>
    </row>
    <row r="140" spans="1:15" x14ac:dyDescent="0.35">
      <c r="A140" s="2" t="s">
        <v>150</v>
      </c>
      <c r="B140" s="2" t="s">
        <v>152</v>
      </c>
      <c r="C140" s="2" t="s">
        <v>18</v>
      </c>
      <c r="D140" s="2" t="s">
        <v>131</v>
      </c>
      <c r="E140" s="2" t="s">
        <v>15</v>
      </c>
      <c r="F140" s="2">
        <v>37</v>
      </c>
      <c r="G140" s="2">
        <v>58</v>
      </c>
      <c r="H140" s="2">
        <v>42</v>
      </c>
      <c r="I140" s="2">
        <v>66</v>
      </c>
      <c r="J140" s="2">
        <v>60</v>
      </c>
      <c r="K140" s="2">
        <v>57</v>
      </c>
      <c r="L140">
        <f t="shared" si="6"/>
        <v>320</v>
      </c>
      <c r="M140" s="4">
        <f t="shared" si="7"/>
        <v>53.333333333333336</v>
      </c>
      <c r="N140" t="str" cm="1">
        <f t="array" ref="N140">_xlfn.IFS(M140&gt;=70,"A",M140&gt;=60,"B",M140&gt;=50,"C",M140&gt;=45,"D",M140&gt;=40,"E",TRUE,"F")</f>
        <v>C</v>
      </c>
      <c r="O140">
        <f t="shared" si="8"/>
        <v>30</v>
      </c>
    </row>
    <row r="141" spans="1:15" x14ac:dyDescent="0.35">
      <c r="A141" s="2" t="s">
        <v>150</v>
      </c>
      <c r="B141" s="2" t="s">
        <v>152</v>
      </c>
      <c r="C141" s="2" t="s">
        <v>18</v>
      </c>
      <c r="D141" s="2" t="s">
        <v>131</v>
      </c>
      <c r="E141" s="2" t="s">
        <v>17</v>
      </c>
      <c r="F141" s="2">
        <v>47</v>
      </c>
      <c r="G141" s="2">
        <v>56</v>
      </c>
      <c r="H141" s="2">
        <v>56</v>
      </c>
      <c r="I141" s="2">
        <v>61</v>
      </c>
      <c r="J141" s="2">
        <v>60</v>
      </c>
      <c r="K141" s="2">
        <v>55</v>
      </c>
      <c r="L141">
        <f t="shared" si="6"/>
        <v>335</v>
      </c>
      <c r="M141" s="4">
        <f t="shared" si="7"/>
        <v>55.833333333333336</v>
      </c>
      <c r="N141" t="str" cm="1">
        <f t="array" ref="N141">_xlfn.IFS(M141&gt;=70,"A",M141&gt;=60,"B",M141&gt;=50,"C",M141&gt;=45,"D",M141&gt;=40,"E",TRUE,"F")</f>
        <v>C</v>
      </c>
      <c r="O141">
        <f t="shared" si="8"/>
        <v>26</v>
      </c>
    </row>
    <row r="142" spans="1:15" x14ac:dyDescent="0.35">
      <c r="A142" s="2" t="s">
        <v>150</v>
      </c>
      <c r="B142" s="2" t="s">
        <v>152</v>
      </c>
      <c r="C142" s="2" t="s">
        <v>18</v>
      </c>
      <c r="D142" s="2" t="s">
        <v>131</v>
      </c>
      <c r="E142" s="2" t="s">
        <v>20</v>
      </c>
      <c r="F142" s="2">
        <v>51</v>
      </c>
      <c r="G142" s="2">
        <v>43</v>
      </c>
      <c r="H142" s="2">
        <v>57</v>
      </c>
      <c r="I142" s="2">
        <v>61</v>
      </c>
      <c r="J142" s="2">
        <v>66</v>
      </c>
      <c r="K142" s="2">
        <v>54</v>
      </c>
      <c r="L142">
        <f t="shared" si="6"/>
        <v>332</v>
      </c>
      <c r="M142" s="4">
        <f t="shared" si="7"/>
        <v>55.333333333333336</v>
      </c>
      <c r="N142" t="str" cm="1">
        <f t="array" ref="N142">_xlfn.IFS(M142&gt;=70,"A",M142&gt;=60,"B",M142&gt;=50,"C",M142&gt;=45,"D",M142&gt;=40,"E",TRUE,"F")</f>
        <v>C</v>
      </c>
      <c r="O142">
        <f t="shared" si="8"/>
        <v>30</v>
      </c>
    </row>
    <row r="143" spans="1:15" x14ac:dyDescent="0.35">
      <c r="A143" s="2" t="s">
        <v>153</v>
      </c>
      <c r="B143" s="2" t="s">
        <v>154</v>
      </c>
      <c r="C143" s="2" t="s">
        <v>18</v>
      </c>
      <c r="D143" s="2" t="s">
        <v>131</v>
      </c>
      <c r="E143" s="2" t="s">
        <v>15</v>
      </c>
      <c r="F143" s="2">
        <v>57</v>
      </c>
      <c r="G143" s="2">
        <v>68</v>
      </c>
      <c r="H143" s="2">
        <v>62</v>
      </c>
      <c r="I143" s="2">
        <v>62</v>
      </c>
      <c r="J143" s="2">
        <v>68</v>
      </c>
      <c r="K143" s="2">
        <v>69</v>
      </c>
      <c r="L143">
        <f t="shared" si="6"/>
        <v>386</v>
      </c>
      <c r="M143" s="4">
        <f t="shared" si="7"/>
        <v>64.333333333333329</v>
      </c>
      <c r="N143" t="str" cm="1">
        <f t="array" ref="N143">_xlfn.IFS(M143&gt;=70,"A",M143&gt;=60,"B",M143&gt;=50,"C",M143&gt;=45,"D",M143&gt;=40,"E",TRUE,"F")</f>
        <v>B</v>
      </c>
      <c r="O143">
        <f t="shared" si="8"/>
        <v>15</v>
      </c>
    </row>
    <row r="144" spans="1:15" x14ac:dyDescent="0.35">
      <c r="A144" s="2" t="s">
        <v>153</v>
      </c>
      <c r="B144" s="2" t="s">
        <v>154</v>
      </c>
      <c r="C144" s="2" t="s">
        <v>18</v>
      </c>
      <c r="D144" s="2" t="s">
        <v>131</v>
      </c>
      <c r="E144" s="2" t="s">
        <v>17</v>
      </c>
      <c r="F144" s="2">
        <v>65</v>
      </c>
      <c r="G144" s="2">
        <v>60</v>
      </c>
      <c r="H144" s="2">
        <v>65</v>
      </c>
      <c r="I144" s="2">
        <v>69</v>
      </c>
      <c r="J144" s="2">
        <v>74</v>
      </c>
      <c r="K144" s="2">
        <v>70</v>
      </c>
      <c r="L144">
        <f t="shared" si="6"/>
        <v>403</v>
      </c>
      <c r="M144" s="4">
        <f t="shared" si="7"/>
        <v>67.166666666666671</v>
      </c>
      <c r="N144" t="str" cm="1">
        <f t="array" ref="N144">_xlfn.IFS(M144&gt;=70,"A",M144&gt;=60,"B",M144&gt;=50,"C",M144&gt;=45,"D",M144&gt;=40,"E",TRUE,"F")</f>
        <v>B</v>
      </c>
      <c r="O144">
        <f t="shared" si="8"/>
        <v>15</v>
      </c>
    </row>
    <row r="145" spans="1:15" x14ac:dyDescent="0.35">
      <c r="A145" s="2" t="s">
        <v>153</v>
      </c>
      <c r="B145" s="2" t="s">
        <v>154</v>
      </c>
      <c r="C145" s="2" t="s">
        <v>18</v>
      </c>
      <c r="D145" s="2" t="s">
        <v>131</v>
      </c>
      <c r="E145" s="2" t="s">
        <v>20</v>
      </c>
      <c r="F145" s="2">
        <v>62</v>
      </c>
      <c r="G145" s="2">
        <v>66</v>
      </c>
      <c r="H145" s="2">
        <v>65</v>
      </c>
      <c r="I145" s="2">
        <v>70</v>
      </c>
      <c r="J145" s="2">
        <v>68</v>
      </c>
      <c r="K145" s="2">
        <v>92</v>
      </c>
      <c r="L145">
        <f t="shared" si="6"/>
        <v>423</v>
      </c>
      <c r="M145" s="4">
        <f t="shared" si="7"/>
        <v>70.5</v>
      </c>
      <c r="N145" t="str" cm="1">
        <f t="array" ref="N145">_xlfn.IFS(M145&gt;=70,"A",M145&gt;=60,"B",M145&gt;=50,"C",M145&gt;=45,"D",M145&gt;=40,"E",TRUE,"F")</f>
        <v>A</v>
      </c>
      <c r="O145">
        <f t="shared" si="8"/>
        <v>10</v>
      </c>
    </row>
    <row r="146" spans="1:15" x14ac:dyDescent="0.35">
      <c r="A146" s="2" t="s">
        <v>157</v>
      </c>
      <c r="B146" s="2" t="s">
        <v>158</v>
      </c>
      <c r="C146" s="2" t="s">
        <v>18</v>
      </c>
      <c r="D146" s="2" t="s">
        <v>131</v>
      </c>
      <c r="E146" s="2" t="s">
        <v>15</v>
      </c>
      <c r="F146" s="2">
        <v>41</v>
      </c>
      <c r="G146" s="2">
        <v>45</v>
      </c>
      <c r="H146" s="2">
        <v>45</v>
      </c>
      <c r="I146" s="2">
        <v>51</v>
      </c>
      <c r="J146" s="2">
        <v>57</v>
      </c>
      <c r="K146" s="2">
        <v>69</v>
      </c>
      <c r="L146">
        <f t="shared" si="6"/>
        <v>308</v>
      </c>
      <c r="M146" s="4">
        <f t="shared" si="7"/>
        <v>51.333333333333336</v>
      </c>
      <c r="N146" t="str" cm="1">
        <f t="array" ref="N146">_xlfn.IFS(M146&gt;=70,"A",M146&gt;=60,"B",M146&gt;=50,"C",M146&gt;=45,"D",M146&gt;=40,"E",TRUE,"F")</f>
        <v>C</v>
      </c>
      <c r="O146">
        <f t="shared" si="8"/>
        <v>34</v>
      </c>
    </row>
    <row r="147" spans="1:15" x14ac:dyDescent="0.35">
      <c r="A147" s="2" t="s">
        <v>157</v>
      </c>
      <c r="B147" s="2" t="s">
        <v>158</v>
      </c>
      <c r="C147" s="2" t="s">
        <v>18</v>
      </c>
      <c r="D147" s="2" t="s">
        <v>131</v>
      </c>
      <c r="E147" s="2" t="s">
        <v>17</v>
      </c>
      <c r="F147" s="2">
        <v>61</v>
      </c>
      <c r="G147" s="2">
        <v>57</v>
      </c>
      <c r="H147" s="2">
        <v>36</v>
      </c>
      <c r="I147" s="2">
        <v>61</v>
      </c>
      <c r="J147" s="2">
        <v>50</v>
      </c>
      <c r="K147" s="2">
        <v>58</v>
      </c>
      <c r="L147">
        <f t="shared" si="6"/>
        <v>323</v>
      </c>
      <c r="M147" s="4">
        <f t="shared" si="7"/>
        <v>53.833333333333336</v>
      </c>
      <c r="N147" t="str" cm="1">
        <f t="array" ref="N147">_xlfn.IFS(M147&gt;=70,"A",M147&gt;=60,"B",M147&gt;=50,"C",M147&gt;=45,"D",M147&gt;=40,"E",TRUE,"F")</f>
        <v>C</v>
      </c>
      <c r="O147">
        <f t="shared" si="8"/>
        <v>31</v>
      </c>
    </row>
    <row r="148" spans="1:15" x14ac:dyDescent="0.35">
      <c r="A148" s="2" t="s">
        <v>157</v>
      </c>
      <c r="B148" s="2" t="s">
        <v>158</v>
      </c>
      <c r="C148" s="2" t="s">
        <v>18</v>
      </c>
      <c r="D148" s="2" t="s">
        <v>131</v>
      </c>
      <c r="E148" s="2" t="s">
        <v>20</v>
      </c>
      <c r="F148" s="2">
        <v>43</v>
      </c>
      <c r="G148" s="2">
        <v>60</v>
      </c>
      <c r="H148" s="2">
        <v>51</v>
      </c>
      <c r="I148" s="2">
        <v>66</v>
      </c>
      <c r="J148" s="2">
        <v>65</v>
      </c>
      <c r="K148" s="2">
        <v>61</v>
      </c>
      <c r="L148">
        <f t="shared" si="6"/>
        <v>346</v>
      </c>
      <c r="M148" s="4">
        <f t="shared" si="7"/>
        <v>57.666666666666664</v>
      </c>
      <c r="N148" t="str" cm="1">
        <f t="array" ref="N148">_xlfn.IFS(M148&gt;=70,"A",M148&gt;=60,"B",M148&gt;=50,"C",M148&gt;=45,"D",M148&gt;=40,"E",TRUE,"F")</f>
        <v>C</v>
      </c>
      <c r="O148">
        <f t="shared" si="8"/>
        <v>26</v>
      </c>
    </row>
    <row r="149" spans="1:15" x14ac:dyDescent="0.35">
      <c r="A149" s="2" t="s">
        <v>160</v>
      </c>
      <c r="B149" s="2" t="s">
        <v>161</v>
      </c>
      <c r="C149" s="2" t="s">
        <v>23</v>
      </c>
      <c r="D149" s="2" t="s">
        <v>131</v>
      </c>
      <c r="E149" s="2" t="s">
        <v>15</v>
      </c>
      <c r="F149" s="2">
        <v>44</v>
      </c>
      <c r="G149" s="2">
        <v>56</v>
      </c>
      <c r="H149" s="2">
        <v>45</v>
      </c>
      <c r="I149" s="2">
        <v>59</v>
      </c>
      <c r="J149" s="2">
        <v>53</v>
      </c>
      <c r="K149" s="2">
        <v>57</v>
      </c>
      <c r="L149">
        <f t="shared" si="6"/>
        <v>314</v>
      </c>
      <c r="M149" s="4">
        <f t="shared" si="7"/>
        <v>52.333333333333336</v>
      </c>
      <c r="N149" t="str" cm="1">
        <f t="array" ref="N149">_xlfn.IFS(M149&gt;=70,"A",M149&gt;=60,"B",M149&gt;=50,"C",M149&gt;=45,"D",M149&gt;=40,"E",TRUE,"F")</f>
        <v>C</v>
      </c>
      <c r="O149">
        <f t="shared" si="8"/>
        <v>33</v>
      </c>
    </row>
    <row r="150" spans="1:15" x14ac:dyDescent="0.35">
      <c r="A150" s="2" t="s">
        <v>160</v>
      </c>
      <c r="B150" s="2" t="s">
        <v>161</v>
      </c>
      <c r="C150" s="2" t="s">
        <v>23</v>
      </c>
      <c r="D150" s="2" t="s">
        <v>131</v>
      </c>
      <c r="E150" s="2" t="s">
        <v>17</v>
      </c>
      <c r="F150" s="2">
        <v>54</v>
      </c>
      <c r="G150" s="2">
        <v>63</v>
      </c>
      <c r="H150" s="2">
        <v>56</v>
      </c>
      <c r="I150" s="2">
        <v>57</v>
      </c>
      <c r="J150" s="2">
        <v>63</v>
      </c>
      <c r="K150" s="2">
        <v>49</v>
      </c>
      <c r="L150">
        <f t="shared" si="6"/>
        <v>342</v>
      </c>
      <c r="M150" s="4">
        <f t="shared" si="7"/>
        <v>57</v>
      </c>
      <c r="N150" t="str" cm="1">
        <f t="array" ref="N150">_xlfn.IFS(M150&gt;=70,"A",M150&gt;=60,"B",M150&gt;=50,"C",M150&gt;=45,"D",M150&gt;=40,"E",TRUE,"F")</f>
        <v>C</v>
      </c>
      <c r="O150">
        <f t="shared" si="8"/>
        <v>24</v>
      </c>
    </row>
    <row r="151" spans="1:15" x14ac:dyDescent="0.35">
      <c r="A151" s="2" t="s">
        <v>160</v>
      </c>
      <c r="B151" s="2" t="s">
        <v>161</v>
      </c>
      <c r="C151" s="2" t="s">
        <v>23</v>
      </c>
      <c r="D151" s="2" t="s">
        <v>131</v>
      </c>
      <c r="E151" s="2" t="s">
        <v>20</v>
      </c>
      <c r="F151" s="2">
        <v>64</v>
      </c>
      <c r="G151" s="2">
        <v>49</v>
      </c>
      <c r="H151" s="2">
        <v>63</v>
      </c>
      <c r="I151" s="2">
        <v>57</v>
      </c>
      <c r="J151" s="2">
        <v>66</v>
      </c>
      <c r="K151" s="2">
        <v>64</v>
      </c>
      <c r="L151">
        <f t="shared" si="6"/>
        <v>363</v>
      </c>
      <c r="M151" s="4">
        <f t="shared" si="7"/>
        <v>60.5</v>
      </c>
      <c r="N151" t="str" cm="1">
        <f t="array" ref="N151">_xlfn.IFS(M151&gt;=70,"A",M151&gt;=60,"B",M151&gt;=50,"C",M151&gt;=45,"D",M151&gt;=40,"E",TRUE,"F")</f>
        <v>B</v>
      </c>
      <c r="O151">
        <f t="shared" si="8"/>
        <v>22</v>
      </c>
    </row>
    <row r="152" spans="1:15" x14ac:dyDescent="0.35">
      <c r="A152" s="2" t="s">
        <v>162</v>
      </c>
      <c r="B152" s="2" t="s">
        <v>163</v>
      </c>
      <c r="C152" s="2" t="s">
        <v>18</v>
      </c>
      <c r="D152" s="2" t="s">
        <v>131</v>
      </c>
      <c r="E152" s="2" t="s">
        <v>15</v>
      </c>
      <c r="F152" s="2">
        <v>48</v>
      </c>
      <c r="G152" s="2">
        <v>46</v>
      </c>
      <c r="H152" s="2">
        <v>35</v>
      </c>
      <c r="I152" s="2">
        <v>57</v>
      </c>
      <c r="J152" s="2">
        <v>51</v>
      </c>
      <c r="K152" s="2">
        <v>53</v>
      </c>
      <c r="L152">
        <f t="shared" si="6"/>
        <v>290</v>
      </c>
      <c r="M152" s="4">
        <f t="shared" si="7"/>
        <v>48.333333333333336</v>
      </c>
      <c r="N152" t="str" cm="1">
        <f t="array" ref="N152">_xlfn.IFS(M152&gt;=70,"A",M152&gt;=60,"B",M152&gt;=50,"C",M152&gt;=45,"D",M152&gt;=40,"E",TRUE,"F")</f>
        <v>D</v>
      </c>
      <c r="O152">
        <f t="shared" si="8"/>
        <v>37</v>
      </c>
    </row>
    <row r="153" spans="1:15" x14ac:dyDescent="0.35">
      <c r="A153" s="2" t="s">
        <v>162</v>
      </c>
      <c r="B153" s="2" t="s">
        <v>163</v>
      </c>
      <c r="C153" s="2" t="s">
        <v>18</v>
      </c>
      <c r="D153" s="2" t="s">
        <v>131</v>
      </c>
      <c r="E153" s="2" t="s">
        <v>17</v>
      </c>
      <c r="F153" s="2">
        <v>47</v>
      </c>
      <c r="G153" s="2">
        <v>72</v>
      </c>
      <c r="H153" s="2">
        <v>52</v>
      </c>
      <c r="I153" s="2">
        <v>63</v>
      </c>
      <c r="J153" s="2">
        <v>54</v>
      </c>
      <c r="K153" s="2">
        <v>75</v>
      </c>
      <c r="L153">
        <f t="shared" si="6"/>
        <v>363</v>
      </c>
      <c r="M153" s="4">
        <f t="shared" si="7"/>
        <v>60.5</v>
      </c>
      <c r="N153" t="str" cm="1">
        <f t="array" ref="N153">_xlfn.IFS(M153&gt;=70,"A",M153&gt;=60,"B",M153&gt;=50,"C",M153&gt;=45,"D",M153&gt;=40,"E",TRUE,"F")</f>
        <v>B</v>
      </c>
      <c r="O153">
        <f t="shared" si="8"/>
        <v>21</v>
      </c>
    </row>
    <row r="154" spans="1:15" x14ac:dyDescent="0.35">
      <c r="A154" s="2" t="s">
        <v>162</v>
      </c>
      <c r="B154" s="2" t="s">
        <v>163</v>
      </c>
      <c r="C154" s="2" t="s">
        <v>18</v>
      </c>
      <c r="D154" s="2" t="s">
        <v>131</v>
      </c>
      <c r="E154" s="2" t="s">
        <v>20</v>
      </c>
      <c r="F154" s="2">
        <v>54</v>
      </c>
      <c r="G154" s="2">
        <v>46</v>
      </c>
      <c r="H154" s="2">
        <v>81</v>
      </c>
      <c r="I154" s="2">
        <v>60</v>
      </c>
      <c r="J154" s="2">
        <v>77</v>
      </c>
      <c r="K154" s="2">
        <v>75</v>
      </c>
      <c r="L154">
        <f t="shared" si="6"/>
        <v>393</v>
      </c>
      <c r="M154" s="4">
        <f t="shared" si="7"/>
        <v>65.5</v>
      </c>
      <c r="N154" t="str" cm="1">
        <f t="array" ref="N154">_xlfn.IFS(M154&gt;=70,"A",M154&gt;=60,"B",M154&gt;=50,"C",M154&gt;=45,"D",M154&gt;=40,"E",TRUE,"F")</f>
        <v>B</v>
      </c>
      <c r="O154">
        <f t="shared" si="8"/>
        <v>17</v>
      </c>
    </row>
    <row r="155" spans="1:15" x14ac:dyDescent="0.35">
      <c r="A155" s="2" t="s">
        <v>165</v>
      </c>
      <c r="B155" s="2" t="s">
        <v>167</v>
      </c>
      <c r="C155" s="2" t="s">
        <v>23</v>
      </c>
      <c r="D155" s="2" t="s">
        <v>131</v>
      </c>
      <c r="E155" s="2" t="s">
        <v>15</v>
      </c>
      <c r="F155" s="2">
        <v>60</v>
      </c>
      <c r="G155" s="2">
        <v>60</v>
      </c>
      <c r="H155" s="2">
        <v>61</v>
      </c>
      <c r="I155" s="2">
        <v>73</v>
      </c>
      <c r="J155" s="2">
        <v>64</v>
      </c>
      <c r="K155" s="2">
        <v>70</v>
      </c>
      <c r="L155">
        <f t="shared" si="6"/>
        <v>388</v>
      </c>
      <c r="M155" s="4">
        <f t="shared" si="7"/>
        <v>64.666666666666671</v>
      </c>
      <c r="N155" t="str" cm="1">
        <f t="array" ref="N155">_xlfn.IFS(M155&gt;=70,"A",M155&gt;=60,"B",M155&gt;=50,"C",M155&gt;=45,"D",M155&gt;=40,"E",TRUE,"F")</f>
        <v>B</v>
      </c>
      <c r="O155">
        <f t="shared" si="8"/>
        <v>13</v>
      </c>
    </row>
    <row r="156" spans="1:15" x14ac:dyDescent="0.35">
      <c r="A156" s="2" t="s">
        <v>165</v>
      </c>
      <c r="B156" s="2" t="s">
        <v>167</v>
      </c>
      <c r="C156" s="2" t="s">
        <v>23</v>
      </c>
      <c r="D156" s="2" t="s">
        <v>131</v>
      </c>
      <c r="E156" s="2" t="s">
        <v>17</v>
      </c>
      <c r="F156" s="2">
        <v>66</v>
      </c>
      <c r="G156" s="2">
        <v>67</v>
      </c>
      <c r="H156" s="2">
        <v>61</v>
      </c>
      <c r="I156" s="2">
        <v>79</v>
      </c>
      <c r="J156" s="2">
        <v>72</v>
      </c>
      <c r="K156" s="2">
        <v>71</v>
      </c>
      <c r="L156">
        <f t="shared" si="6"/>
        <v>416</v>
      </c>
      <c r="M156" s="4">
        <f t="shared" si="7"/>
        <v>69.333333333333329</v>
      </c>
      <c r="N156" t="str" cm="1">
        <f t="array" ref="N156">_xlfn.IFS(M156&gt;=70,"A",M156&gt;=60,"B",M156&gt;=50,"C",M156&gt;=45,"D",M156&gt;=40,"E",TRUE,"F")</f>
        <v>B</v>
      </c>
      <c r="O156">
        <f t="shared" si="8"/>
        <v>9</v>
      </c>
    </row>
    <row r="157" spans="1:15" x14ac:dyDescent="0.35">
      <c r="A157" s="2" t="s">
        <v>165</v>
      </c>
      <c r="B157" s="2" t="s">
        <v>167</v>
      </c>
      <c r="C157" s="2" t="s">
        <v>23</v>
      </c>
      <c r="D157" s="2" t="s">
        <v>131</v>
      </c>
      <c r="E157" s="2" t="s">
        <v>20</v>
      </c>
      <c r="F157" s="2">
        <v>59</v>
      </c>
      <c r="G157" s="2">
        <v>63</v>
      </c>
      <c r="H157" s="2">
        <v>74</v>
      </c>
      <c r="I157" s="2">
        <v>80</v>
      </c>
      <c r="J157" s="2">
        <v>59</v>
      </c>
      <c r="K157" s="2">
        <v>72</v>
      </c>
      <c r="L157">
        <f t="shared" si="6"/>
        <v>407</v>
      </c>
      <c r="M157" s="4">
        <f t="shared" si="7"/>
        <v>67.833333333333329</v>
      </c>
      <c r="N157" t="str" cm="1">
        <f t="array" ref="N157">_xlfn.IFS(M157&gt;=70,"A",M157&gt;=60,"B",M157&gt;=50,"C",M157&gt;=45,"D",M157&gt;=40,"E",TRUE,"F")</f>
        <v>B</v>
      </c>
      <c r="O157">
        <f t="shared" si="8"/>
        <v>14</v>
      </c>
    </row>
    <row r="158" spans="1:15" x14ac:dyDescent="0.35">
      <c r="A158" s="2" t="s">
        <v>168</v>
      </c>
      <c r="B158" s="2" t="s">
        <v>169</v>
      </c>
      <c r="C158" s="2" t="s">
        <v>18</v>
      </c>
      <c r="D158" s="2" t="s">
        <v>131</v>
      </c>
      <c r="E158" s="2" t="s">
        <v>15</v>
      </c>
      <c r="F158" s="2">
        <v>45</v>
      </c>
      <c r="G158" s="2">
        <v>61</v>
      </c>
      <c r="H158" s="2">
        <v>57</v>
      </c>
      <c r="I158" s="2">
        <v>53</v>
      </c>
      <c r="J158" s="2">
        <v>57</v>
      </c>
      <c r="K158" s="2">
        <v>46</v>
      </c>
      <c r="L158">
        <f t="shared" si="6"/>
        <v>319</v>
      </c>
      <c r="M158" s="4">
        <f t="shared" si="7"/>
        <v>53.166666666666664</v>
      </c>
      <c r="N158" t="str" cm="1">
        <f t="array" ref="N158">_xlfn.IFS(M158&gt;=70,"A",M158&gt;=60,"B",M158&gt;=50,"C",M158&gt;=45,"D",M158&gt;=40,"E",TRUE,"F")</f>
        <v>C</v>
      </c>
      <c r="O158">
        <f t="shared" si="8"/>
        <v>31</v>
      </c>
    </row>
    <row r="159" spans="1:15" x14ac:dyDescent="0.35">
      <c r="A159" s="2" t="s">
        <v>168</v>
      </c>
      <c r="B159" s="2" t="s">
        <v>169</v>
      </c>
      <c r="C159" s="2" t="s">
        <v>18</v>
      </c>
      <c r="D159" s="2" t="s">
        <v>131</v>
      </c>
      <c r="E159" s="2" t="s">
        <v>17</v>
      </c>
      <c r="F159" s="2">
        <v>46</v>
      </c>
      <c r="G159" s="2">
        <v>38</v>
      </c>
      <c r="H159" s="2">
        <v>41</v>
      </c>
      <c r="I159" s="2">
        <v>52</v>
      </c>
      <c r="J159" s="2">
        <v>66</v>
      </c>
      <c r="K159" s="2">
        <v>58</v>
      </c>
      <c r="L159">
        <f t="shared" si="6"/>
        <v>301</v>
      </c>
      <c r="M159" s="4">
        <f t="shared" si="7"/>
        <v>50.166666666666664</v>
      </c>
      <c r="N159" t="str" cm="1">
        <f t="array" ref="N159">_xlfn.IFS(M159&gt;=70,"A",M159&gt;=60,"B",M159&gt;=50,"C",M159&gt;=45,"D",M159&gt;=40,"E",TRUE,"F")</f>
        <v>C</v>
      </c>
      <c r="O159">
        <f t="shared" si="8"/>
        <v>35</v>
      </c>
    </row>
    <row r="160" spans="1:15" x14ac:dyDescent="0.35">
      <c r="A160" s="2" t="s">
        <v>168</v>
      </c>
      <c r="B160" s="2" t="s">
        <v>169</v>
      </c>
      <c r="C160" s="2" t="s">
        <v>18</v>
      </c>
      <c r="D160" s="2" t="s">
        <v>131</v>
      </c>
      <c r="E160" s="2" t="s">
        <v>20</v>
      </c>
      <c r="F160" s="2">
        <v>45</v>
      </c>
      <c r="G160" s="2">
        <v>48</v>
      </c>
      <c r="H160" s="2">
        <v>38</v>
      </c>
      <c r="I160" s="2">
        <v>56</v>
      </c>
      <c r="J160" s="2">
        <v>51</v>
      </c>
      <c r="K160" s="2">
        <v>57</v>
      </c>
      <c r="L160">
        <f t="shared" si="6"/>
        <v>295</v>
      </c>
      <c r="M160" s="4">
        <f t="shared" si="7"/>
        <v>49.166666666666664</v>
      </c>
      <c r="N160" t="str" cm="1">
        <f t="array" ref="N160">_xlfn.IFS(M160&gt;=70,"A",M160&gt;=60,"B",M160&gt;=50,"C",M160&gt;=45,"D",M160&gt;=40,"E",TRUE,"F")</f>
        <v>D</v>
      </c>
      <c r="O160">
        <f t="shared" si="8"/>
        <v>37</v>
      </c>
    </row>
    <row r="161" spans="1:15" x14ac:dyDescent="0.35">
      <c r="A161" s="2" t="s">
        <v>170</v>
      </c>
      <c r="B161" s="2" t="s">
        <v>171</v>
      </c>
      <c r="C161" s="2" t="s">
        <v>23</v>
      </c>
      <c r="D161" s="2" t="s">
        <v>131</v>
      </c>
      <c r="E161" s="2" t="s">
        <v>15</v>
      </c>
      <c r="F161" s="2">
        <v>54</v>
      </c>
      <c r="G161" s="2">
        <v>67</v>
      </c>
      <c r="H161" s="2">
        <v>53</v>
      </c>
      <c r="I161" s="2">
        <v>72</v>
      </c>
      <c r="J161" s="2">
        <v>79</v>
      </c>
      <c r="K161" s="2">
        <v>78</v>
      </c>
      <c r="L161">
        <f t="shared" si="6"/>
        <v>403</v>
      </c>
      <c r="M161" s="4">
        <f t="shared" si="7"/>
        <v>67.166666666666671</v>
      </c>
      <c r="N161" t="str" cm="1">
        <f t="array" ref="N161">_xlfn.IFS(M161&gt;=70,"A",M161&gt;=60,"B",M161&gt;=50,"C",M161&gt;=45,"D",M161&gt;=40,"E",TRUE,"F")</f>
        <v>B</v>
      </c>
      <c r="O161">
        <f t="shared" si="8"/>
        <v>9</v>
      </c>
    </row>
    <row r="162" spans="1:15" x14ac:dyDescent="0.35">
      <c r="A162" s="2" t="s">
        <v>170</v>
      </c>
      <c r="B162" s="2" t="s">
        <v>171</v>
      </c>
      <c r="C162" s="2" t="s">
        <v>23</v>
      </c>
      <c r="D162" s="2" t="s">
        <v>131</v>
      </c>
      <c r="E162" s="2" t="s">
        <v>17</v>
      </c>
      <c r="F162" s="2">
        <v>73</v>
      </c>
      <c r="G162" s="2">
        <v>67</v>
      </c>
      <c r="H162" s="2">
        <v>66</v>
      </c>
      <c r="I162" s="2">
        <v>71</v>
      </c>
      <c r="J162" s="2">
        <v>62</v>
      </c>
      <c r="K162" s="2">
        <v>86</v>
      </c>
      <c r="L162">
        <f t="shared" si="6"/>
        <v>425</v>
      </c>
      <c r="M162" s="4">
        <f t="shared" si="7"/>
        <v>70.833333333333329</v>
      </c>
      <c r="N162" t="str" cm="1">
        <f t="array" ref="N162">_xlfn.IFS(M162&gt;=70,"A",M162&gt;=60,"B",M162&gt;=50,"C",M162&gt;=45,"D",M162&gt;=40,"E",TRUE,"F")</f>
        <v>A</v>
      </c>
      <c r="O162">
        <f t="shared" si="8"/>
        <v>6</v>
      </c>
    </row>
    <row r="163" spans="1:15" x14ac:dyDescent="0.35">
      <c r="A163" s="2" t="s">
        <v>170</v>
      </c>
      <c r="B163" s="2" t="s">
        <v>171</v>
      </c>
      <c r="C163" s="2" t="s">
        <v>23</v>
      </c>
      <c r="D163" s="2" t="s">
        <v>131</v>
      </c>
      <c r="E163" s="2" t="s">
        <v>20</v>
      </c>
      <c r="F163" s="2">
        <v>64</v>
      </c>
      <c r="G163" s="2">
        <v>62</v>
      </c>
      <c r="H163" s="2">
        <v>55</v>
      </c>
      <c r="I163" s="2">
        <v>70</v>
      </c>
      <c r="J163" s="2">
        <v>73</v>
      </c>
      <c r="K163" s="2">
        <v>70</v>
      </c>
      <c r="L163">
        <f t="shared" si="6"/>
        <v>394</v>
      </c>
      <c r="M163" s="4">
        <f t="shared" si="7"/>
        <v>65.666666666666671</v>
      </c>
      <c r="N163" t="str" cm="1">
        <f t="array" ref="N163">_xlfn.IFS(M163&gt;=70,"A",M163&gt;=60,"B",M163&gt;=50,"C",M163&gt;=45,"D",M163&gt;=40,"E",TRUE,"F")</f>
        <v>B</v>
      </c>
      <c r="O163">
        <f t="shared" si="8"/>
        <v>16</v>
      </c>
    </row>
    <row r="164" spans="1:15" x14ac:dyDescent="0.35">
      <c r="A164" s="2" t="s">
        <v>172</v>
      </c>
      <c r="B164" s="2" t="s">
        <v>173</v>
      </c>
      <c r="C164" s="2" t="s">
        <v>23</v>
      </c>
      <c r="D164" s="2" t="s">
        <v>131</v>
      </c>
      <c r="E164" s="2" t="s">
        <v>15</v>
      </c>
      <c r="F164" s="2">
        <v>49</v>
      </c>
      <c r="G164" s="2">
        <v>52</v>
      </c>
      <c r="H164" s="2">
        <v>52</v>
      </c>
      <c r="I164" s="2">
        <v>66</v>
      </c>
      <c r="J164" s="2">
        <v>68</v>
      </c>
      <c r="K164" s="2">
        <v>49</v>
      </c>
      <c r="L164">
        <f t="shared" si="6"/>
        <v>336</v>
      </c>
      <c r="M164" s="4">
        <f t="shared" si="7"/>
        <v>56</v>
      </c>
      <c r="N164" t="str" cm="1">
        <f t="array" ref="N164">_xlfn.IFS(M164&gt;=70,"A",M164&gt;=60,"B",M164&gt;=50,"C",M164&gt;=45,"D",M164&gt;=40,"E",TRUE,"F")</f>
        <v>C</v>
      </c>
      <c r="O164">
        <f t="shared" si="8"/>
        <v>28</v>
      </c>
    </row>
    <row r="165" spans="1:15" x14ac:dyDescent="0.35">
      <c r="A165" s="2" t="s">
        <v>172</v>
      </c>
      <c r="B165" s="2" t="s">
        <v>173</v>
      </c>
      <c r="C165" s="2" t="s">
        <v>23</v>
      </c>
      <c r="D165" s="2" t="s">
        <v>131</v>
      </c>
      <c r="E165" s="2" t="s">
        <v>17</v>
      </c>
      <c r="F165" s="2">
        <v>51</v>
      </c>
      <c r="G165" s="2">
        <v>47</v>
      </c>
      <c r="H165" s="2">
        <v>45</v>
      </c>
      <c r="I165" s="2">
        <v>63</v>
      </c>
      <c r="J165" s="2">
        <v>54</v>
      </c>
      <c r="K165" s="2">
        <v>40</v>
      </c>
      <c r="L165">
        <f t="shared" si="6"/>
        <v>300</v>
      </c>
      <c r="M165" s="4">
        <f t="shared" si="7"/>
        <v>50</v>
      </c>
      <c r="N165" t="str" cm="1">
        <f t="array" ref="N165">_xlfn.IFS(M165&gt;=70,"A",M165&gt;=60,"B",M165&gt;=50,"C",M165&gt;=45,"D",M165&gt;=40,"E",TRUE,"F")</f>
        <v>C</v>
      </c>
      <c r="O165">
        <f t="shared" si="8"/>
        <v>36</v>
      </c>
    </row>
    <row r="166" spans="1:15" x14ac:dyDescent="0.35">
      <c r="A166" s="2" t="s">
        <v>172</v>
      </c>
      <c r="B166" s="2" t="s">
        <v>173</v>
      </c>
      <c r="C166" s="2" t="s">
        <v>23</v>
      </c>
      <c r="D166" s="2" t="s">
        <v>131</v>
      </c>
      <c r="E166" s="2" t="s">
        <v>20</v>
      </c>
      <c r="F166" s="2">
        <v>57</v>
      </c>
      <c r="G166" s="2">
        <v>67</v>
      </c>
      <c r="H166" s="2">
        <v>70</v>
      </c>
      <c r="I166" s="2">
        <v>58</v>
      </c>
      <c r="J166" s="2">
        <v>72</v>
      </c>
      <c r="K166" s="2">
        <v>46</v>
      </c>
      <c r="L166">
        <f t="shared" si="6"/>
        <v>370</v>
      </c>
      <c r="M166" s="4">
        <f t="shared" si="7"/>
        <v>61.666666666666664</v>
      </c>
      <c r="N166" t="str" cm="1">
        <f t="array" ref="N166">_xlfn.IFS(M166&gt;=70,"A",M166&gt;=60,"B",M166&gt;=50,"C",M166&gt;=45,"D",M166&gt;=40,"E",TRUE,"F")</f>
        <v>B</v>
      </c>
      <c r="O166">
        <f t="shared" si="8"/>
        <v>21</v>
      </c>
    </row>
    <row r="167" spans="1:15" x14ac:dyDescent="0.35">
      <c r="A167" s="2" t="s">
        <v>176</v>
      </c>
      <c r="B167" s="2" t="s">
        <v>177</v>
      </c>
      <c r="C167" s="2" t="s">
        <v>23</v>
      </c>
      <c r="D167" s="2" t="s">
        <v>131</v>
      </c>
      <c r="E167" s="2" t="s">
        <v>15</v>
      </c>
      <c r="F167" s="2">
        <v>27</v>
      </c>
      <c r="G167" s="2">
        <v>44</v>
      </c>
      <c r="H167" s="2">
        <v>42</v>
      </c>
      <c r="I167" s="2">
        <v>53</v>
      </c>
      <c r="J167" s="2">
        <v>51</v>
      </c>
      <c r="K167" s="2">
        <v>46</v>
      </c>
      <c r="L167">
        <f t="shared" si="6"/>
        <v>263</v>
      </c>
      <c r="M167" s="4">
        <f t="shared" si="7"/>
        <v>43.833333333333336</v>
      </c>
      <c r="N167" t="str" cm="1">
        <f t="array" ref="N167">_xlfn.IFS(M167&gt;=70,"A",M167&gt;=60,"B",M167&gt;=50,"C",M167&gt;=45,"D",M167&gt;=40,"E",TRUE,"F")</f>
        <v>E</v>
      </c>
      <c r="O167">
        <f t="shared" si="8"/>
        <v>38</v>
      </c>
    </row>
    <row r="168" spans="1:15" x14ac:dyDescent="0.35">
      <c r="A168" s="2" t="s">
        <v>176</v>
      </c>
      <c r="B168" s="2" t="s">
        <v>177</v>
      </c>
      <c r="C168" s="2" t="s">
        <v>23</v>
      </c>
      <c r="D168" s="2" t="s">
        <v>131</v>
      </c>
      <c r="E168" s="2" t="s">
        <v>17</v>
      </c>
      <c r="F168" s="2">
        <v>48</v>
      </c>
      <c r="G168" s="2">
        <v>48</v>
      </c>
      <c r="H168" s="2">
        <v>54</v>
      </c>
      <c r="I168" s="2">
        <v>41</v>
      </c>
      <c r="J168" s="2">
        <v>50</v>
      </c>
      <c r="K168" s="2">
        <v>47</v>
      </c>
      <c r="L168">
        <f t="shared" si="6"/>
        <v>288</v>
      </c>
      <c r="M168" s="4">
        <f t="shared" si="7"/>
        <v>48</v>
      </c>
      <c r="N168" t="str" cm="1">
        <f t="array" ref="N168">_xlfn.IFS(M168&gt;=70,"A",M168&gt;=60,"B",M168&gt;=50,"C",M168&gt;=45,"D",M168&gt;=40,"E",TRUE,"F")</f>
        <v>D</v>
      </c>
      <c r="O168">
        <f t="shared" si="8"/>
        <v>37</v>
      </c>
    </row>
    <row r="169" spans="1:15" x14ac:dyDescent="0.35">
      <c r="A169" s="2" t="s">
        <v>176</v>
      </c>
      <c r="B169" s="2" t="s">
        <v>177</v>
      </c>
      <c r="C169" s="2" t="s">
        <v>23</v>
      </c>
      <c r="D169" s="2" t="s">
        <v>131</v>
      </c>
      <c r="E169" s="2" t="s">
        <v>20</v>
      </c>
      <c r="F169" s="2">
        <v>46</v>
      </c>
      <c r="G169" s="2">
        <v>45</v>
      </c>
      <c r="H169" s="2">
        <v>43</v>
      </c>
      <c r="I169" s="2">
        <v>40</v>
      </c>
      <c r="J169" s="2">
        <v>53</v>
      </c>
      <c r="K169" s="2">
        <v>61</v>
      </c>
      <c r="L169">
        <f t="shared" si="6"/>
        <v>288</v>
      </c>
      <c r="M169" s="4">
        <f t="shared" si="7"/>
        <v>48</v>
      </c>
      <c r="N169" t="str" cm="1">
        <f t="array" ref="N169">_xlfn.IFS(M169&gt;=70,"A",M169&gt;=60,"B",M169&gt;=50,"C",M169&gt;=45,"D",M169&gt;=40,"E",TRUE,"F")</f>
        <v>D</v>
      </c>
      <c r="O169">
        <f t="shared" si="8"/>
        <v>38</v>
      </c>
    </row>
    <row r="170" spans="1:15" x14ac:dyDescent="0.35">
      <c r="A170" s="2" t="s">
        <v>179</v>
      </c>
      <c r="B170" s="2" t="s">
        <v>180</v>
      </c>
      <c r="C170" s="2" t="s">
        <v>18</v>
      </c>
      <c r="D170" s="2" t="s">
        <v>131</v>
      </c>
      <c r="E170" s="2" t="s">
        <v>20</v>
      </c>
      <c r="F170" s="2">
        <v>68</v>
      </c>
      <c r="G170" s="2">
        <v>63</v>
      </c>
      <c r="H170" s="2">
        <v>61</v>
      </c>
      <c r="I170" s="2">
        <v>81</v>
      </c>
      <c r="J170" s="2">
        <v>65</v>
      </c>
      <c r="K170" s="2">
        <v>77</v>
      </c>
      <c r="L170">
        <f t="shared" si="6"/>
        <v>415</v>
      </c>
      <c r="M170" s="4">
        <f t="shared" si="7"/>
        <v>69.166666666666671</v>
      </c>
      <c r="N170" t="str" cm="1">
        <f t="array" ref="N170">_xlfn.IFS(M170&gt;=70,"A",M170&gt;=60,"B",M170&gt;=50,"C",M170&gt;=45,"D",M170&gt;=40,"E",TRUE,"F")</f>
        <v>B</v>
      </c>
      <c r="O170">
        <f t="shared" si="8"/>
        <v>12</v>
      </c>
    </row>
    <row r="171" spans="1:15" x14ac:dyDescent="0.35">
      <c r="A171" s="2" t="s">
        <v>179</v>
      </c>
      <c r="B171" s="2" t="s">
        <v>180</v>
      </c>
      <c r="C171" s="2" t="s">
        <v>18</v>
      </c>
      <c r="D171" s="2" t="s">
        <v>131</v>
      </c>
      <c r="E171" s="2" t="s">
        <v>15</v>
      </c>
      <c r="F171" s="2">
        <v>68</v>
      </c>
      <c r="G171" s="2">
        <v>46</v>
      </c>
      <c r="H171" s="2">
        <v>54</v>
      </c>
      <c r="I171" s="2">
        <v>84</v>
      </c>
      <c r="J171" s="2">
        <v>70</v>
      </c>
      <c r="K171" s="2">
        <v>72</v>
      </c>
      <c r="L171">
        <f t="shared" si="6"/>
        <v>394</v>
      </c>
      <c r="M171" s="4">
        <f t="shared" si="7"/>
        <v>65.666666666666671</v>
      </c>
      <c r="N171" t="str" cm="1">
        <f t="array" ref="N171">_xlfn.IFS(M171&gt;=70,"A",M171&gt;=60,"B",M171&gt;=50,"C",M171&gt;=45,"D",M171&gt;=40,"E",TRUE,"F")</f>
        <v>B</v>
      </c>
      <c r="O171">
        <f t="shared" si="8"/>
        <v>12</v>
      </c>
    </row>
    <row r="172" spans="1:15" x14ac:dyDescent="0.35">
      <c r="A172" s="2" t="s">
        <v>179</v>
      </c>
      <c r="B172" s="2" t="s">
        <v>180</v>
      </c>
      <c r="C172" s="2" t="s">
        <v>18</v>
      </c>
      <c r="D172" s="2" t="s">
        <v>131</v>
      </c>
      <c r="E172" s="2" t="s">
        <v>17</v>
      </c>
      <c r="F172" s="2">
        <v>68</v>
      </c>
      <c r="G172" s="2">
        <v>68</v>
      </c>
      <c r="H172" s="2">
        <v>60</v>
      </c>
      <c r="I172" s="2">
        <v>68</v>
      </c>
      <c r="J172" s="2">
        <v>83</v>
      </c>
      <c r="K172" s="2">
        <v>62</v>
      </c>
      <c r="L172">
        <f t="shared" si="6"/>
        <v>409</v>
      </c>
      <c r="M172" s="4">
        <f t="shared" si="7"/>
        <v>68.166666666666671</v>
      </c>
      <c r="N172" t="str" cm="1">
        <f t="array" ref="N172">_xlfn.IFS(M172&gt;=70,"A",M172&gt;=60,"B",M172&gt;=50,"C",M172&gt;=45,"D",M172&gt;=40,"E",TRUE,"F")</f>
        <v>B</v>
      </c>
      <c r="O172">
        <f t="shared" si="8"/>
        <v>11</v>
      </c>
    </row>
    <row r="173" spans="1:15" x14ac:dyDescent="0.35">
      <c r="A173" s="2" t="s">
        <v>181</v>
      </c>
      <c r="B173" s="2" t="s">
        <v>182</v>
      </c>
      <c r="C173" s="2" t="s">
        <v>23</v>
      </c>
      <c r="D173" s="2" t="s">
        <v>131</v>
      </c>
      <c r="E173" s="2" t="s">
        <v>15</v>
      </c>
      <c r="F173" s="2">
        <v>53</v>
      </c>
      <c r="G173" s="2">
        <v>51</v>
      </c>
      <c r="H173" s="2">
        <v>58</v>
      </c>
      <c r="I173" s="2">
        <v>72</v>
      </c>
      <c r="J173" s="2">
        <v>64</v>
      </c>
      <c r="K173" s="2">
        <v>71</v>
      </c>
      <c r="L173">
        <f t="shared" si="6"/>
        <v>369</v>
      </c>
      <c r="M173" s="4">
        <f t="shared" si="7"/>
        <v>61.5</v>
      </c>
      <c r="N173" t="str" cm="1">
        <f t="array" ref="N173">_xlfn.IFS(M173&gt;=70,"A",M173&gt;=60,"B",M173&gt;=50,"C",M173&gt;=45,"D",M173&gt;=40,"E",TRUE,"F")</f>
        <v>B</v>
      </c>
      <c r="O173">
        <f t="shared" si="8"/>
        <v>17</v>
      </c>
    </row>
    <row r="174" spans="1:15" x14ac:dyDescent="0.35">
      <c r="A174" s="2" t="s">
        <v>181</v>
      </c>
      <c r="B174" s="2" t="s">
        <v>182</v>
      </c>
      <c r="C174" s="2" t="s">
        <v>23</v>
      </c>
      <c r="D174" s="2" t="s">
        <v>131</v>
      </c>
      <c r="E174" s="2" t="s">
        <v>17</v>
      </c>
      <c r="F174" s="2">
        <v>54</v>
      </c>
      <c r="G174" s="2">
        <v>59</v>
      </c>
      <c r="H174" s="2">
        <v>54</v>
      </c>
      <c r="I174" s="2">
        <v>63</v>
      </c>
      <c r="J174" s="2">
        <v>48</v>
      </c>
      <c r="K174" s="2">
        <v>61</v>
      </c>
      <c r="L174">
        <f t="shared" si="6"/>
        <v>339</v>
      </c>
      <c r="M174" s="4">
        <f t="shared" si="7"/>
        <v>56.5</v>
      </c>
      <c r="N174" t="str" cm="1">
        <f t="array" ref="N174">_xlfn.IFS(M174&gt;=70,"A",M174&gt;=60,"B",M174&gt;=50,"C",M174&gt;=45,"D",M174&gt;=40,"E",TRUE,"F")</f>
        <v>C</v>
      </c>
      <c r="O174">
        <f t="shared" si="8"/>
        <v>25</v>
      </c>
    </row>
    <row r="175" spans="1:15" x14ac:dyDescent="0.35">
      <c r="A175" s="2" t="s">
        <v>181</v>
      </c>
      <c r="B175" s="2" t="s">
        <v>182</v>
      </c>
      <c r="C175" s="2" t="s">
        <v>23</v>
      </c>
      <c r="D175" s="2" t="s">
        <v>131</v>
      </c>
      <c r="E175" s="2" t="s">
        <v>20</v>
      </c>
      <c r="F175" s="2">
        <v>37</v>
      </c>
      <c r="G175" s="2">
        <v>58</v>
      </c>
      <c r="H175" s="2">
        <v>57</v>
      </c>
      <c r="I175" s="2">
        <v>53</v>
      </c>
      <c r="J175" s="2">
        <v>66</v>
      </c>
      <c r="K175" s="2">
        <v>65</v>
      </c>
      <c r="L175">
        <f t="shared" si="6"/>
        <v>336</v>
      </c>
      <c r="M175" s="4">
        <f t="shared" si="7"/>
        <v>56</v>
      </c>
      <c r="N175" t="str" cm="1">
        <f t="array" ref="N175">_xlfn.IFS(M175&gt;=70,"A",M175&gt;=60,"B",M175&gt;=50,"C",M175&gt;=45,"D",M175&gt;=40,"E",TRUE,"F")</f>
        <v>C</v>
      </c>
      <c r="O175">
        <f t="shared" si="8"/>
        <v>28</v>
      </c>
    </row>
    <row r="176" spans="1:15" x14ac:dyDescent="0.35">
      <c r="A176" s="2" t="s">
        <v>183</v>
      </c>
      <c r="B176" s="2" t="s">
        <v>184</v>
      </c>
      <c r="C176" s="2" t="s">
        <v>18</v>
      </c>
      <c r="D176" s="2" t="s">
        <v>131</v>
      </c>
      <c r="E176" s="2" t="s">
        <v>15</v>
      </c>
      <c r="F176" s="2">
        <v>53</v>
      </c>
      <c r="G176" s="2">
        <v>54</v>
      </c>
      <c r="H176" s="2">
        <v>58</v>
      </c>
      <c r="I176" s="2">
        <v>67</v>
      </c>
      <c r="J176" s="2">
        <v>56</v>
      </c>
      <c r="K176" s="2">
        <v>57</v>
      </c>
      <c r="L176">
        <f t="shared" si="6"/>
        <v>345</v>
      </c>
      <c r="M176" s="4">
        <f t="shared" si="7"/>
        <v>57.5</v>
      </c>
      <c r="N176" t="str" cm="1">
        <f t="array" ref="N176">_xlfn.IFS(M176&gt;=70,"A",M176&gt;=60,"B",M176&gt;=50,"C",M176&gt;=45,"D",M176&gt;=40,"E",TRUE,"F")</f>
        <v>C</v>
      </c>
      <c r="O176">
        <f t="shared" si="8"/>
        <v>22</v>
      </c>
    </row>
    <row r="177" spans="1:15" x14ac:dyDescent="0.35">
      <c r="A177" s="2" t="s">
        <v>183</v>
      </c>
      <c r="B177" s="2" t="s">
        <v>184</v>
      </c>
      <c r="C177" s="2" t="s">
        <v>18</v>
      </c>
      <c r="D177" s="2" t="s">
        <v>131</v>
      </c>
      <c r="E177" s="2" t="s">
        <v>17</v>
      </c>
      <c r="F177" s="2">
        <v>55</v>
      </c>
      <c r="G177" s="2">
        <v>37</v>
      </c>
      <c r="H177" s="2">
        <v>33</v>
      </c>
      <c r="I177" s="2">
        <v>43</v>
      </c>
      <c r="J177" s="2">
        <v>58</v>
      </c>
      <c r="K177" s="2">
        <v>60</v>
      </c>
      <c r="L177">
        <f t="shared" si="6"/>
        <v>286</v>
      </c>
      <c r="M177" s="4">
        <f t="shared" si="7"/>
        <v>47.666666666666664</v>
      </c>
      <c r="N177" t="str" cm="1">
        <f t="array" ref="N177">_xlfn.IFS(M177&gt;=70,"A",M177&gt;=60,"B",M177&gt;=50,"C",M177&gt;=45,"D",M177&gt;=40,"E",TRUE,"F")</f>
        <v>D</v>
      </c>
      <c r="O177">
        <f t="shared" si="8"/>
        <v>38</v>
      </c>
    </row>
    <row r="178" spans="1:15" x14ac:dyDescent="0.35">
      <c r="A178" s="2" t="s">
        <v>183</v>
      </c>
      <c r="B178" s="2" t="s">
        <v>184</v>
      </c>
      <c r="C178" s="2" t="s">
        <v>18</v>
      </c>
      <c r="D178" s="2" t="s">
        <v>131</v>
      </c>
      <c r="E178" s="2" t="s">
        <v>20</v>
      </c>
      <c r="F178" s="2">
        <v>47</v>
      </c>
      <c r="G178" s="2">
        <v>50</v>
      </c>
      <c r="H178" s="2">
        <v>58</v>
      </c>
      <c r="I178" s="2">
        <v>63</v>
      </c>
      <c r="J178" s="2">
        <v>61</v>
      </c>
      <c r="K178" s="2">
        <v>47</v>
      </c>
      <c r="L178">
        <f t="shared" si="6"/>
        <v>326</v>
      </c>
      <c r="M178" s="4">
        <f t="shared" si="7"/>
        <v>54.333333333333336</v>
      </c>
      <c r="N178" t="str" cm="1">
        <f t="array" ref="N178">_xlfn.IFS(M178&gt;=70,"A",M178&gt;=60,"B",M178&gt;=50,"C",M178&gt;=45,"D",M178&gt;=40,"E",TRUE,"F")</f>
        <v>C</v>
      </c>
      <c r="O178">
        <f t="shared" si="8"/>
        <v>35</v>
      </c>
    </row>
    <row r="179" spans="1:15" x14ac:dyDescent="0.35">
      <c r="A179" s="2" t="s">
        <v>185</v>
      </c>
      <c r="B179" s="2" t="s">
        <v>186</v>
      </c>
      <c r="C179" s="2" t="s">
        <v>18</v>
      </c>
      <c r="D179" s="2" t="s">
        <v>131</v>
      </c>
      <c r="E179" s="2" t="s">
        <v>20</v>
      </c>
      <c r="F179" s="2">
        <v>69</v>
      </c>
      <c r="G179" s="2">
        <v>76</v>
      </c>
      <c r="H179" s="2">
        <v>74</v>
      </c>
      <c r="I179" s="2">
        <v>88</v>
      </c>
      <c r="J179" s="2">
        <v>93</v>
      </c>
      <c r="K179" s="2">
        <v>86</v>
      </c>
      <c r="L179">
        <f t="shared" si="6"/>
        <v>486</v>
      </c>
      <c r="M179" s="4">
        <f t="shared" si="7"/>
        <v>81</v>
      </c>
      <c r="N179" t="str" cm="1">
        <f t="array" ref="N179">_xlfn.IFS(M179&gt;=70,"A",M179&gt;=60,"B",M179&gt;=50,"C",M179&gt;=45,"D",M179&gt;=40,"E",TRUE,"F")</f>
        <v>A</v>
      </c>
      <c r="O179">
        <f t="shared" si="8"/>
        <v>4</v>
      </c>
    </row>
    <row r="180" spans="1:15" x14ac:dyDescent="0.35">
      <c r="A180" s="2" t="s">
        <v>185</v>
      </c>
      <c r="B180" s="2" t="s">
        <v>186</v>
      </c>
      <c r="C180" s="2" t="s">
        <v>18</v>
      </c>
      <c r="D180" s="2" t="s">
        <v>131</v>
      </c>
      <c r="E180" s="2" t="s">
        <v>15</v>
      </c>
      <c r="F180" s="2">
        <v>67</v>
      </c>
      <c r="G180" s="2">
        <v>64</v>
      </c>
      <c r="H180" s="2">
        <v>65</v>
      </c>
      <c r="I180" s="2">
        <v>66</v>
      </c>
      <c r="J180" s="2">
        <v>75</v>
      </c>
      <c r="K180" s="2">
        <v>80</v>
      </c>
      <c r="L180">
        <f t="shared" si="6"/>
        <v>417</v>
      </c>
      <c r="M180" s="4">
        <f t="shared" si="7"/>
        <v>69.5</v>
      </c>
      <c r="N180" t="str" cm="1">
        <f t="array" ref="N180">_xlfn.IFS(M180&gt;=70,"A",M180&gt;=60,"B",M180&gt;=50,"C",M180&gt;=45,"D",M180&gt;=40,"E",TRUE,"F")</f>
        <v>B</v>
      </c>
      <c r="O180">
        <f t="shared" si="8"/>
        <v>3</v>
      </c>
    </row>
    <row r="181" spans="1:15" x14ac:dyDescent="0.35">
      <c r="A181" s="2" t="s">
        <v>185</v>
      </c>
      <c r="B181" s="2" t="s">
        <v>186</v>
      </c>
      <c r="C181" s="2" t="s">
        <v>18</v>
      </c>
      <c r="D181" s="2" t="s">
        <v>131</v>
      </c>
      <c r="E181" s="2" t="s">
        <v>17</v>
      </c>
      <c r="F181" s="2">
        <v>68</v>
      </c>
      <c r="G181" s="2">
        <v>66</v>
      </c>
      <c r="H181" s="2">
        <v>61</v>
      </c>
      <c r="I181" s="2">
        <v>72</v>
      </c>
      <c r="J181" s="2">
        <v>72</v>
      </c>
      <c r="K181" s="2">
        <v>85</v>
      </c>
      <c r="L181">
        <f t="shared" si="6"/>
        <v>424</v>
      </c>
      <c r="M181" s="4">
        <f t="shared" si="7"/>
        <v>70.666666666666671</v>
      </c>
      <c r="N181" t="str" cm="1">
        <f t="array" ref="N181">_xlfn.IFS(M181&gt;=70,"A",M181&gt;=60,"B",M181&gt;=50,"C",M181&gt;=45,"D",M181&gt;=40,"E",TRUE,"F")</f>
        <v>A</v>
      </c>
      <c r="O181">
        <f t="shared" si="8"/>
        <v>7</v>
      </c>
    </row>
    <row r="182" spans="1:15" x14ac:dyDescent="0.35">
      <c r="A182" s="2" t="s">
        <v>188</v>
      </c>
      <c r="B182" s="2" t="s">
        <v>189</v>
      </c>
      <c r="C182" s="2" t="s">
        <v>18</v>
      </c>
      <c r="D182" s="2" t="s">
        <v>131</v>
      </c>
      <c r="E182" s="2" t="s">
        <v>15</v>
      </c>
      <c r="F182" s="2">
        <v>49</v>
      </c>
      <c r="G182" s="2">
        <v>67</v>
      </c>
      <c r="H182" s="2">
        <v>58</v>
      </c>
      <c r="I182" s="2">
        <v>57</v>
      </c>
      <c r="J182" s="2">
        <v>68</v>
      </c>
      <c r="K182" s="2">
        <v>64</v>
      </c>
      <c r="L182">
        <f t="shared" si="6"/>
        <v>363</v>
      </c>
      <c r="M182" s="4">
        <f t="shared" si="7"/>
        <v>60.5</v>
      </c>
      <c r="N182" t="str" cm="1">
        <f t="array" ref="N182">_xlfn.IFS(M182&gt;=70,"A",M182&gt;=60,"B",M182&gt;=50,"C",M182&gt;=45,"D",M182&gt;=40,"E",TRUE,"F")</f>
        <v>B</v>
      </c>
      <c r="O182">
        <f t="shared" si="8"/>
        <v>19</v>
      </c>
    </row>
    <row r="183" spans="1:15" x14ac:dyDescent="0.35">
      <c r="A183" s="2" t="s">
        <v>188</v>
      </c>
      <c r="B183" s="2" t="s">
        <v>189</v>
      </c>
      <c r="C183" s="2" t="s">
        <v>18</v>
      </c>
      <c r="D183" s="2" t="s">
        <v>131</v>
      </c>
      <c r="E183" s="2" t="s">
        <v>17</v>
      </c>
      <c r="F183" s="2">
        <v>40</v>
      </c>
      <c r="G183" s="2">
        <v>60</v>
      </c>
      <c r="H183" s="2">
        <v>56</v>
      </c>
      <c r="I183" s="2">
        <v>46</v>
      </c>
      <c r="J183" s="2">
        <v>45</v>
      </c>
      <c r="K183" s="2">
        <v>63</v>
      </c>
      <c r="L183">
        <f t="shared" si="6"/>
        <v>310</v>
      </c>
      <c r="M183" s="4">
        <f t="shared" si="7"/>
        <v>51.666666666666664</v>
      </c>
      <c r="N183" t="str" cm="1">
        <f t="array" ref="N183">_xlfn.IFS(M183&gt;=70,"A",M183&gt;=60,"B",M183&gt;=50,"C",M183&gt;=45,"D",M183&gt;=40,"E",TRUE,"F")</f>
        <v>C</v>
      </c>
      <c r="O183">
        <f t="shared" si="8"/>
        <v>33</v>
      </c>
    </row>
    <row r="184" spans="1:15" x14ac:dyDescent="0.35">
      <c r="A184" s="2" t="s">
        <v>188</v>
      </c>
      <c r="B184" s="2" t="s">
        <v>189</v>
      </c>
      <c r="C184" s="2" t="s">
        <v>18</v>
      </c>
      <c r="D184" s="2" t="s">
        <v>131</v>
      </c>
      <c r="E184" s="2" t="s">
        <v>20</v>
      </c>
      <c r="F184" s="2">
        <v>54</v>
      </c>
      <c r="G184" s="2">
        <v>60</v>
      </c>
      <c r="H184" s="2">
        <v>44</v>
      </c>
      <c r="I184" s="2">
        <v>56</v>
      </c>
      <c r="J184" s="2">
        <v>64</v>
      </c>
      <c r="K184" s="2">
        <v>51</v>
      </c>
      <c r="L184">
        <f t="shared" si="6"/>
        <v>329</v>
      </c>
      <c r="M184" s="4">
        <f t="shared" si="7"/>
        <v>54.833333333333336</v>
      </c>
      <c r="N184" t="str" cm="1">
        <f t="array" ref="N184">_xlfn.IFS(M184&gt;=70,"A",M184&gt;=60,"B",M184&gt;=50,"C",M184&gt;=45,"D",M184&gt;=40,"E",TRUE,"F")</f>
        <v>C</v>
      </c>
      <c r="O184">
        <f t="shared" si="8"/>
        <v>32</v>
      </c>
    </row>
    <row r="185" spans="1:15" x14ac:dyDescent="0.35">
      <c r="A185" s="2" t="s">
        <v>190</v>
      </c>
      <c r="B185" s="2" t="s">
        <v>191</v>
      </c>
      <c r="C185" s="2" t="s">
        <v>18</v>
      </c>
      <c r="D185" s="2" t="s">
        <v>131</v>
      </c>
      <c r="E185" s="2" t="s">
        <v>20</v>
      </c>
      <c r="F185" s="2">
        <v>73</v>
      </c>
      <c r="G185" s="2">
        <v>91</v>
      </c>
      <c r="H185" s="2">
        <v>78</v>
      </c>
      <c r="I185" s="2">
        <v>98</v>
      </c>
      <c r="J185" s="2">
        <v>82</v>
      </c>
      <c r="K185" s="2">
        <v>83</v>
      </c>
      <c r="L185">
        <f t="shared" si="6"/>
        <v>505</v>
      </c>
      <c r="M185" s="4">
        <f t="shared" si="7"/>
        <v>84.166666666666671</v>
      </c>
      <c r="N185" t="str" cm="1">
        <f t="array" ref="N185">_xlfn.IFS(M185&gt;=70,"A",M185&gt;=60,"B",M185&gt;=50,"C",M185&gt;=45,"D",M185&gt;=40,"E",TRUE,"F")</f>
        <v>A</v>
      </c>
      <c r="O185">
        <f t="shared" si="8"/>
        <v>2</v>
      </c>
    </row>
    <row r="186" spans="1:15" x14ac:dyDescent="0.35">
      <c r="A186" s="2" t="s">
        <v>190</v>
      </c>
      <c r="B186" s="2" t="s">
        <v>191</v>
      </c>
      <c r="C186" s="2" t="s">
        <v>18</v>
      </c>
      <c r="D186" s="2" t="s">
        <v>131</v>
      </c>
      <c r="E186" s="2" t="s">
        <v>15</v>
      </c>
      <c r="F186" s="2">
        <v>67</v>
      </c>
      <c r="G186" s="2">
        <v>74</v>
      </c>
      <c r="H186" s="2">
        <v>77</v>
      </c>
      <c r="I186" s="2">
        <v>58</v>
      </c>
      <c r="J186" s="2">
        <v>77</v>
      </c>
      <c r="K186" s="2">
        <v>92</v>
      </c>
      <c r="L186">
        <f t="shared" si="6"/>
        <v>445</v>
      </c>
      <c r="M186" s="4">
        <f t="shared" si="7"/>
        <v>74.166666666666671</v>
      </c>
      <c r="N186" t="str" cm="1">
        <f t="array" ref="N186">_xlfn.IFS(M186&gt;=70,"A",M186&gt;=60,"B",M186&gt;=50,"C",M186&gt;=45,"D",M186&gt;=40,"E",TRUE,"F")</f>
        <v>A</v>
      </c>
      <c r="O186">
        <f t="shared" si="8"/>
        <v>1</v>
      </c>
    </row>
    <row r="187" spans="1:15" x14ac:dyDescent="0.35">
      <c r="A187" s="2" t="s">
        <v>190</v>
      </c>
      <c r="B187" s="2" t="s">
        <v>191</v>
      </c>
      <c r="C187" s="2" t="s">
        <v>18</v>
      </c>
      <c r="D187" s="2" t="s">
        <v>131</v>
      </c>
      <c r="E187" s="2" t="s">
        <v>17</v>
      </c>
      <c r="F187" s="2">
        <v>71</v>
      </c>
      <c r="G187" s="2">
        <v>79</v>
      </c>
      <c r="H187" s="2">
        <v>86</v>
      </c>
      <c r="I187" s="2">
        <v>79</v>
      </c>
      <c r="J187" s="2">
        <v>93</v>
      </c>
      <c r="K187" s="2">
        <v>91</v>
      </c>
      <c r="L187">
        <f t="shared" si="6"/>
        <v>499</v>
      </c>
      <c r="M187" s="4">
        <f t="shared" si="7"/>
        <v>83.166666666666671</v>
      </c>
      <c r="N187" t="str" cm="1">
        <f t="array" ref="N187">_xlfn.IFS(M187&gt;=70,"A",M187&gt;=60,"B",M187&gt;=50,"C",M187&gt;=45,"D",M187&gt;=40,"E",TRUE,"F")</f>
        <v>A</v>
      </c>
      <c r="O187">
        <f t="shared" si="8"/>
        <v>2</v>
      </c>
    </row>
    <row r="188" spans="1:15" x14ac:dyDescent="0.35">
      <c r="A188" s="2" t="s">
        <v>192</v>
      </c>
      <c r="B188" s="2" t="s">
        <v>194</v>
      </c>
      <c r="C188" s="2" t="s">
        <v>23</v>
      </c>
      <c r="D188" s="2" t="s">
        <v>131</v>
      </c>
      <c r="E188" s="2" t="s">
        <v>15</v>
      </c>
      <c r="F188" s="2">
        <v>21</v>
      </c>
      <c r="G188" s="2">
        <v>29</v>
      </c>
      <c r="H188" s="2">
        <v>42</v>
      </c>
      <c r="I188" s="2">
        <v>38</v>
      </c>
      <c r="J188" s="2">
        <v>41</v>
      </c>
      <c r="K188" s="2">
        <v>48</v>
      </c>
      <c r="L188">
        <f t="shared" si="6"/>
        <v>219</v>
      </c>
      <c r="M188" s="4">
        <f t="shared" si="7"/>
        <v>36.5</v>
      </c>
      <c r="N188" t="str" cm="1">
        <f t="array" ref="N188">_xlfn.IFS(M188&gt;=70,"A",M188&gt;=60,"B",M188&gt;=50,"C",M188&gt;=45,"D",M188&gt;=40,"E",TRUE,"F")</f>
        <v>F</v>
      </c>
      <c r="O188">
        <f t="shared" si="8"/>
        <v>40</v>
      </c>
    </row>
    <row r="189" spans="1:15" x14ac:dyDescent="0.35">
      <c r="A189" s="2" t="s">
        <v>192</v>
      </c>
      <c r="B189" s="2" t="s">
        <v>194</v>
      </c>
      <c r="C189" s="2" t="s">
        <v>23</v>
      </c>
      <c r="D189" s="2" t="s">
        <v>131</v>
      </c>
      <c r="E189" s="2" t="s">
        <v>17</v>
      </c>
      <c r="F189" s="2">
        <v>30</v>
      </c>
      <c r="G189" s="2">
        <v>37</v>
      </c>
      <c r="H189" s="2">
        <v>33</v>
      </c>
      <c r="I189" s="2">
        <v>50</v>
      </c>
      <c r="J189" s="2">
        <v>56</v>
      </c>
      <c r="K189" s="2">
        <v>49</v>
      </c>
      <c r="L189">
        <f t="shared" si="6"/>
        <v>255</v>
      </c>
      <c r="M189" s="4">
        <f t="shared" si="7"/>
        <v>42.5</v>
      </c>
      <c r="N189" t="str" cm="1">
        <f t="array" ref="N189">_xlfn.IFS(M189&gt;=70,"A",M189&gt;=60,"B",M189&gt;=50,"C",M189&gt;=45,"D",M189&gt;=40,"E",TRUE,"F")</f>
        <v>E</v>
      </c>
      <c r="O189">
        <f t="shared" si="8"/>
        <v>40</v>
      </c>
    </row>
    <row r="190" spans="1:15" x14ac:dyDescent="0.35">
      <c r="A190" s="2" t="s">
        <v>192</v>
      </c>
      <c r="B190" s="2" t="s">
        <v>194</v>
      </c>
      <c r="C190" s="2" t="s">
        <v>23</v>
      </c>
      <c r="D190" s="2" t="s">
        <v>131</v>
      </c>
      <c r="E190" s="2" t="s">
        <v>20</v>
      </c>
      <c r="F190" s="2">
        <v>37</v>
      </c>
      <c r="G190" s="2">
        <v>44</v>
      </c>
      <c r="H190" s="2">
        <v>38</v>
      </c>
      <c r="I190" s="2">
        <v>55</v>
      </c>
      <c r="J190" s="2">
        <v>44</v>
      </c>
      <c r="K190" s="2">
        <v>52</v>
      </c>
      <c r="L190">
        <f t="shared" si="6"/>
        <v>270</v>
      </c>
      <c r="M190" s="4">
        <f t="shared" si="7"/>
        <v>45</v>
      </c>
      <c r="N190" t="str" cm="1">
        <f t="array" ref="N190">_xlfn.IFS(M190&gt;=70,"A",M190&gt;=60,"B",M190&gt;=50,"C",M190&gt;=45,"D",M190&gt;=40,"E",TRUE,"F")</f>
        <v>D</v>
      </c>
      <c r="O190">
        <f t="shared" si="8"/>
        <v>40</v>
      </c>
    </row>
    <row r="191" spans="1:15" x14ac:dyDescent="0.35">
      <c r="A191" s="2" t="s">
        <v>195</v>
      </c>
      <c r="B191" s="2" t="s">
        <v>196</v>
      </c>
      <c r="C191" s="2" t="s">
        <v>23</v>
      </c>
      <c r="D191" s="2" t="s">
        <v>131</v>
      </c>
      <c r="E191" s="2" t="s">
        <v>20</v>
      </c>
      <c r="F191" s="2">
        <v>76</v>
      </c>
      <c r="G191" s="2">
        <v>73</v>
      </c>
      <c r="H191" s="2">
        <v>90</v>
      </c>
      <c r="I191" s="2">
        <v>79</v>
      </c>
      <c r="J191" s="2">
        <v>91</v>
      </c>
      <c r="K191" s="2">
        <v>86</v>
      </c>
      <c r="L191">
        <f t="shared" si="6"/>
        <v>495</v>
      </c>
      <c r="M191" s="4">
        <f t="shared" si="7"/>
        <v>82.5</v>
      </c>
      <c r="N191" t="str" cm="1">
        <f t="array" ref="N191">_xlfn.IFS(M191&gt;=70,"A",M191&gt;=60,"B",M191&gt;=50,"C",M191&gt;=45,"D",M191&gt;=40,"E",TRUE,"F")</f>
        <v>A</v>
      </c>
      <c r="O191">
        <f t="shared" si="8"/>
        <v>3</v>
      </c>
    </row>
    <row r="192" spans="1:15" x14ac:dyDescent="0.35">
      <c r="A192" s="2" t="s">
        <v>195</v>
      </c>
      <c r="B192" s="2" t="s">
        <v>196</v>
      </c>
      <c r="C192" s="2" t="s">
        <v>23</v>
      </c>
      <c r="D192" s="2" t="s">
        <v>131</v>
      </c>
      <c r="E192" s="2" t="s">
        <v>15</v>
      </c>
      <c r="F192" s="2">
        <v>62</v>
      </c>
      <c r="G192" s="2">
        <v>63</v>
      </c>
      <c r="H192" s="2">
        <v>57</v>
      </c>
      <c r="I192" s="2">
        <v>73</v>
      </c>
      <c r="J192" s="2">
        <v>82</v>
      </c>
      <c r="K192" s="2">
        <v>80</v>
      </c>
      <c r="L192">
        <f t="shared" si="6"/>
        <v>417</v>
      </c>
      <c r="M192" s="4">
        <f t="shared" si="7"/>
        <v>69.5</v>
      </c>
      <c r="N192" t="str" cm="1">
        <f t="array" ref="N192">_xlfn.IFS(M192&gt;=70,"A",M192&gt;=60,"B",M192&gt;=50,"C",M192&gt;=45,"D",M192&gt;=40,"E",TRUE,"F")</f>
        <v>B</v>
      </c>
      <c r="O192">
        <f t="shared" si="8"/>
        <v>3</v>
      </c>
    </row>
    <row r="193" spans="1:15" x14ac:dyDescent="0.35">
      <c r="A193" s="2" t="s">
        <v>195</v>
      </c>
      <c r="B193" s="2" t="s">
        <v>196</v>
      </c>
      <c r="C193" s="2" t="s">
        <v>23</v>
      </c>
      <c r="D193" s="2" t="s">
        <v>131</v>
      </c>
      <c r="E193" s="2" t="s">
        <v>17</v>
      </c>
      <c r="F193" s="2">
        <v>72</v>
      </c>
      <c r="G193" s="2">
        <v>72</v>
      </c>
      <c r="H193" s="2">
        <v>71</v>
      </c>
      <c r="I193" s="2">
        <v>75</v>
      </c>
      <c r="J193" s="2">
        <v>85</v>
      </c>
      <c r="K193" s="2">
        <v>98</v>
      </c>
      <c r="L193">
        <f t="shared" si="6"/>
        <v>473</v>
      </c>
      <c r="M193" s="4">
        <f t="shared" si="7"/>
        <v>78.833333333333329</v>
      </c>
      <c r="N193" t="str" cm="1">
        <f t="array" ref="N193">_xlfn.IFS(M193&gt;=70,"A",M193&gt;=60,"B",M193&gt;=50,"C",M193&gt;=45,"D",M193&gt;=40,"E",TRUE,"F")</f>
        <v>A</v>
      </c>
      <c r="O193">
        <f t="shared" si="8"/>
        <v>3</v>
      </c>
    </row>
    <row r="194" spans="1:15" x14ac:dyDescent="0.35">
      <c r="A194" s="2" t="s">
        <v>198</v>
      </c>
      <c r="B194" s="2" t="s">
        <v>199</v>
      </c>
      <c r="C194" s="2" t="s">
        <v>23</v>
      </c>
      <c r="D194" s="2" t="s">
        <v>131</v>
      </c>
      <c r="E194" s="2" t="s">
        <v>15</v>
      </c>
      <c r="F194" s="2">
        <v>37</v>
      </c>
      <c r="G194" s="2">
        <v>67</v>
      </c>
      <c r="H194" s="2"/>
      <c r="I194" s="2"/>
      <c r="J194" s="2">
        <v>49</v>
      </c>
      <c r="K194" s="2">
        <v>48</v>
      </c>
      <c r="L194">
        <f t="shared" ref="L194:L257" si="9">SUM(F194:K194)</f>
        <v>201</v>
      </c>
      <c r="M194" s="4">
        <f t="shared" ref="M194:M257" si="10">AVERAGE(F194:K194)</f>
        <v>50.25</v>
      </c>
      <c r="N194" t="str" cm="1">
        <f t="array" ref="N194">_xlfn.IFS(M194&gt;=70,"A",M194&gt;=60,"B",M194&gt;=50,"C",M194&gt;=45,"D",M194&gt;=40,"E",TRUE,"F")</f>
        <v>C</v>
      </c>
      <c r="O194">
        <f t="shared" ref="O194:O257" si="11">COUNTIFS($D$2:$D$721,D194,$E$2:$E$721,E194,$M$2:$M$721,"&gt;"&amp;M194)+1</f>
        <v>36</v>
      </c>
    </row>
    <row r="195" spans="1:15" x14ac:dyDescent="0.35">
      <c r="A195" s="2" t="s">
        <v>198</v>
      </c>
      <c r="B195" s="2" t="s">
        <v>199</v>
      </c>
      <c r="C195" s="2" t="s">
        <v>23</v>
      </c>
      <c r="D195" s="2" t="s">
        <v>131</v>
      </c>
      <c r="E195" s="2" t="s">
        <v>17</v>
      </c>
      <c r="F195" s="2">
        <v>39</v>
      </c>
      <c r="G195" s="2">
        <v>43</v>
      </c>
      <c r="H195" s="2">
        <v>50</v>
      </c>
      <c r="I195" s="2">
        <v>58</v>
      </c>
      <c r="J195" s="2">
        <v>45</v>
      </c>
      <c r="K195" s="2">
        <v>46</v>
      </c>
      <c r="L195">
        <f t="shared" si="9"/>
        <v>281</v>
      </c>
      <c r="M195" s="4">
        <f t="shared" si="10"/>
        <v>46.833333333333336</v>
      </c>
      <c r="N195" t="str" cm="1">
        <f t="array" ref="N195">_xlfn.IFS(M195&gt;=70,"A",M195&gt;=60,"B",M195&gt;=50,"C",M195&gt;=45,"D",M195&gt;=40,"E",TRUE,"F")</f>
        <v>D</v>
      </c>
      <c r="O195">
        <f t="shared" si="11"/>
        <v>39</v>
      </c>
    </row>
    <row r="196" spans="1:15" x14ac:dyDescent="0.35">
      <c r="A196" s="2" t="s">
        <v>198</v>
      </c>
      <c r="B196" s="2" t="s">
        <v>199</v>
      </c>
      <c r="C196" s="2" t="s">
        <v>23</v>
      </c>
      <c r="D196" s="2" t="s">
        <v>131</v>
      </c>
      <c r="E196" s="2" t="s">
        <v>20</v>
      </c>
      <c r="F196" s="2">
        <v>59</v>
      </c>
      <c r="G196" s="2">
        <v>43</v>
      </c>
      <c r="H196" s="2">
        <v>56</v>
      </c>
      <c r="I196" s="2">
        <v>59</v>
      </c>
      <c r="J196" s="2">
        <v>49</v>
      </c>
      <c r="K196" s="2">
        <v>64</v>
      </c>
      <c r="L196">
        <f t="shared" si="9"/>
        <v>330</v>
      </c>
      <c r="M196" s="4">
        <f t="shared" si="10"/>
        <v>55</v>
      </c>
      <c r="N196" t="str" cm="1">
        <f t="array" ref="N196">_xlfn.IFS(M196&gt;=70,"A",M196&gt;=60,"B",M196&gt;=50,"C",M196&gt;=45,"D",M196&gt;=40,"E",TRUE,"F")</f>
        <v>C</v>
      </c>
      <c r="O196">
        <f t="shared" si="11"/>
        <v>31</v>
      </c>
    </row>
    <row r="197" spans="1:15" x14ac:dyDescent="0.35">
      <c r="A197" s="2" t="s">
        <v>201</v>
      </c>
      <c r="B197" s="2" t="s">
        <v>202</v>
      </c>
      <c r="C197" s="2" t="s">
        <v>23</v>
      </c>
      <c r="D197" s="2" t="s">
        <v>131</v>
      </c>
      <c r="E197" s="2" t="s">
        <v>20</v>
      </c>
      <c r="F197" s="2">
        <v>57</v>
      </c>
      <c r="G197" s="2">
        <v>60</v>
      </c>
      <c r="H197" s="2">
        <v>50</v>
      </c>
      <c r="I197" s="2">
        <v>45</v>
      </c>
      <c r="J197" s="2">
        <v>64</v>
      </c>
      <c r="K197" s="2">
        <v>72</v>
      </c>
      <c r="L197">
        <f t="shared" si="9"/>
        <v>348</v>
      </c>
      <c r="M197" s="4">
        <f t="shared" si="10"/>
        <v>58</v>
      </c>
      <c r="N197" t="str" cm="1">
        <f t="array" ref="N197">_xlfn.IFS(M197&gt;=70,"A",M197&gt;=60,"B",M197&gt;=50,"C",M197&gt;=45,"D",M197&gt;=40,"E",TRUE,"F")</f>
        <v>C</v>
      </c>
      <c r="O197">
        <f t="shared" si="11"/>
        <v>25</v>
      </c>
    </row>
    <row r="198" spans="1:15" x14ac:dyDescent="0.35">
      <c r="A198" s="2" t="s">
        <v>201</v>
      </c>
      <c r="B198" s="2" t="s">
        <v>202</v>
      </c>
      <c r="C198" s="2" t="s">
        <v>23</v>
      </c>
      <c r="D198" s="2" t="s">
        <v>131</v>
      </c>
      <c r="E198" s="2" t="s">
        <v>15</v>
      </c>
      <c r="F198" s="2">
        <v>41</v>
      </c>
      <c r="G198" s="2">
        <v>47</v>
      </c>
      <c r="H198" s="2">
        <v>43</v>
      </c>
      <c r="I198" s="2">
        <v>64</v>
      </c>
      <c r="J198" s="2">
        <v>56</v>
      </c>
      <c r="K198" s="2">
        <v>68</v>
      </c>
      <c r="L198">
        <f t="shared" si="9"/>
        <v>319</v>
      </c>
      <c r="M198" s="4">
        <f t="shared" si="10"/>
        <v>53.166666666666664</v>
      </c>
      <c r="N198" t="str" cm="1">
        <f t="array" ref="N198">_xlfn.IFS(M198&gt;=70,"A",M198&gt;=60,"B",M198&gt;=50,"C",M198&gt;=45,"D",M198&gt;=40,"E",TRUE,"F")</f>
        <v>C</v>
      </c>
      <c r="O198">
        <f t="shared" si="11"/>
        <v>31</v>
      </c>
    </row>
    <row r="199" spans="1:15" x14ac:dyDescent="0.35">
      <c r="A199" s="2" t="s">
        <v>201</v>
      </c>
      <c r="B199" s="2" t="s">
        <v>202</v>
      </c>
      <c r="C199" s="2" t="s">
        <v>23</v>
      </c>
      <c r="D199" s="2" t="s">
        <v>131</v>
      </c>
      <c r="E199" s="2" t="s">
        <v>17</v>
      </c>
      <c r="F199" s="2">
        <v>43</v>
      </c>
      <c r="G199" s="2">
        <v>59</v>
      </c>
      <c r="H199" s="2">
        <v>63</v>
      </c>
      <c r="I199" s="2">
        <v>57</v>
      </c>
      <c r="J199" s="2">
        <v>51</v>
      </c>
      <c r="K199" s="2">
        <v>58</v>
      </c>
      <c r="L199">
        <f t="shared" si="9"/>
        <v>331</v>
      </c>
      <c r="M199" s="4">
        <f t="shared" si="10"/>
        <v>55.166666666666664</v>
      </c>
      <c r="N199" t="str" cm="1">
        <f t="array" ref="N199">_xlfn.IFS(M199&gt;=70,"A",M199&gt;=60,"B",M199&gt;=50,"C",M199&gt;=45,"D",M199&gt;=40,"E",TRUE,"F")</f>
        <v>C</v>
      </c>
      <c r="O199">
        <f t="shared" si="11"/>
        <v>28</v>
      </c>
    </row>
    <row r="200" spans="1:15" x14ac:dyDescent="0.35">
      <c r="A200" s="2" t="s">
        <v>203</v>
      </c>
      <c r="B200" s="2" t="s">
        <v>204</v>
      </c>
      <c r="C200" s="2" t="s">
        <v>23</v>
      </c>
      <c r="D200" s="2" t="s">
        <v>131</v>
      </c>
      <c r="E200" s="2" t="s">
        <v>15</v>
      </c>
      <c r="F200" s="2">
        <v>48</v>
      </c>
      <c r="G200" s="2">
        <v>45</v>
      </c>
      <c r="H200" s="2">
        <v>39</v>
      </c>
      <c r="I200" s="2">
        <v>40</v>
      </c>
      <c r="J200" s="2">
        <v>42</v>
      </c>
      <c r="K200" s="2">
        <v>37</v>
      </c>
      <c r="L200">
        <f t="shared" si="9"/>
        <v>251</v>
      </c>
      <c r="M200" s="4">
        <f t="shared" si="10"/>
        <v>41.833333333333336</v>
      </c>
      <c r="N200" t="str" cm="1">
        <f t="array" ref="N200">_xlfn.IFS(M200&gt;=70,"A",M200&gt;=60,"B",M200&gt;=50,"C",M200&gt;=45,"D",M200&gt;=40,"E",TRUE,"F")</f>
        <v>E</v>
      </c>
      <c r="O200">
        <f t="shared" si="11"/>
        <v>39</v>
      </c>
    </row>
    <row r="201" spans="1:15" x14ac:dyDescent="0.35">
      <c r="A201" s="2" t="s">
        <v>203</v>
      </c>
      <c r="B201" s="2" t="s">
        <v>204</v>
      </c>
      <c r="C201" s="2" t="s">
        <v>23</v>
      </c>
      <c r="D201" s="2" t="s">
        <v>131</v>
      </c>
      <c r="E201" s="2" t="s">
        <v>17</v>
      </c>
      <c r="F201" s="2">
        <v>55</v>
      </c>
      <c r="G201" s="2">
        <v>46</v>
      </c>
      <c r="H201" s="2">
        <v>61</v>
      </c>
      <c r="I201" s="2">
        <v>49</v>
      </c>
      <c r="J201" s="2">
        <v>39</v>
      </c>
      <c r="K201" s="2">
        <v>65</v>
      </c>
      <c r="L201">
        <f t="shared" si="9"/>
        <v>315</v>
      </c>
      <c r="M201" s="4">
        <f t="shared" si="10"/>
        <v>52.5</v>
      </c>
      <c r="N201" t="str" cm="1">
        <f t="array" ref="N201">_xlfn.IFS(M201&gt;=70,"A",M201&gt;=60,"B",M201&gt;=50,"C",M201&gt;=45,"D",M201&gt;=40,"E",TRUE,"F")</f>
        <v>C</v>
      </c>
      <c r="O201">
        <f t="shared" si="11"/>
        <v>32</v>
      </c>
    </row>
    <row r="202" spans="1:15" x14ac:dyDescent="0.35">
      <c r="A202" s="2" t="s">
        <v>203</v>
      </c>
      <c r="B202" s="2" t="s">
        <v>204</v>
      </c>
      <c r="C202" s="2" t="s">
        <v>23</v>
      </c>
      <c r="D202" s="2" t="s">
        <v>131</v>
      </c>
      <c r="E202" s="2" t="s">
        <v>20</v>
      </c>
      <c r="F202" s="2">
        <v>38</v>
      </c>
      <c r="G202" s="2">
        <v>47</v>
      </c>
      <c r="H202" s="2">
        <v>60</v>
      </c>
      <c r="I202" s="2">
        <v>63</v>
      </c>
      <c r="J202" s="2">
        <v>40</v>
      </c>
      <c r="K202" s="2">
        <v>56</v>
      </c>
      <c r="L202">
        <f t="shared" si="9"/>
        <v>304</v>
      </c>
      <c r="M202" s="4">
        <f t="shared" si="10"/>
        <v>50.666666666666664</v>
      </c>
      <c r="N202" t="str" cm="1">
        <f t="array" ref="N202">_xlfn.IFS(M202&gt;=70,"A",M202&gt;=60,"B",M202&gt;=50,"C",M202&gt;=45,"D",M202&gt;=40,"E",TRUE,"F")</f>
        <v>C</v>
      </c>
      <c r="O202">
        <f t="shared" si="11"/>
        <v>36</v>
      </c>
    </row>
    <row r="203" spans="1:15" x14ac:dyDescent="0.35">
      <c r="A203" s="2" t="s">
        <v>207</v>
      </c>
      <c r="B203" s="2" t="s">
        <v>208</v>
      </c>
      <c r="C203" s="2" t="s">
        <v>18</v>
      </c>
      <c r="D203" s="2" t="s">
        <v>131</v>
      </c>
      <c r="E203" s="2" t="s">
        <v>20</v>
      </c>
      <c r="F203" s="2">
        <v>53</v>
      </c>
      <c r="G203" s="2">
        <v>70</v>
      </c>
      <c r="H203" s="2">
        <v>55</v>
      </c>
      <c r="I203" s="2">
        <v>70</v>
      </c>
      <c r="J203" s="2">
        <v>70</v>
      </c>
      <c r="K203" s="2">
        <v>69</v>
      </c>
      <c r="L203">
        <f t="shared" si="9"/>
        <v>387</v>
      </c>
      <c r="M203" s="4">
        <f t="shared" si="10"/>
        <v>64.5</v>
      </c>
      <c r="N203" t="str" cm="1">
        <f t="array" ref="N203">_xlfn.IFS(M203&gt;=70,"A",M203&gt;=60,"B",M203&gt;=50,"C",M203&gt;=45,"D",M203&gt;=40,"E",TRUE,"F")</f>
        <v>B</v>
      </c>
      <c r="O203">
        <f t="shared" si="11"/>
        <v>19</v>
      </c>
    </row>
    <row r="204" spans="1:15" x14ac:dyDescent="0.35">
      <c r="A204" s="2" t="s">
        <v>207</v>
      </c>
      <c r="B204" s="2" t="s">
        <v>208</v>
      </c>
      <c r="C204" s="2" t="s">
        <v>18</v>
      </c>
      <c r="D204" s="2" t="s">
        <v>131</v>
      </c>
      <c r="E204" s="2" t="s">
        <v>15</v>
      </c>
      <c r="F204" s="2">
        <v>53</v>
      </c>
      <c r="G204" s="2">
        <v>70</v>
      </c>
      <c r="H204" s="2">
        <v>77</v>
      </c>
      <c r="I204" s="2">
        <v>66</v>
      </c>
      <c r="J204" s="2">
        <v>81</v>
      </c>
      <c r="K204" s="2">
        <v>66</v>
      </c>
      <c r="L204">
        <f t="shared" si="9"/>
        <v>413</v>
      </c>
      <c r="M204" s="4">
        <f t="shared" si="10"/>
        <v>68.833333333333329</v>
      </c>
      <c r="N204" t="str" cm="1">
        <f t="array" ref="N204">_xlfn.IFS(M204&gt;=70,"A",M204&gt;=60,"B",M204&gt;=50,"C",M204&gt;=45,"D",M204&gt;=40,"E",TRUE,"F")</f>
        <v>B</v>
      </c>
      <c r="O204">
        <f t="shared" si="11"/>
        <v>5</v>
      </c>
    </row>
    <row r="205" spans="1:15" x14ac:dyDescent="0.35">
      <c r="A205" s="2" t="s">
        <v>207</v>
      </c>
      <c r="B205" s="2" t="s">
        <v>208</v>
      </c>
      <c r="C205" s="2" t="s">
        <v>18</v>
      </c>
      <c r="D205" s="2" t="s">
        <v>131</v>
      </c>
      <c r="E205" s="2" t="s">
        <v>17</v>
      </c>
      <c r="F205" s="2">
        <v>76</v>
      </c>
      <c r="G205" s="2">
        <v>61</v>
      </c>
      <c r="H205" s="2">
        <v>61</v>
      </c>
      <c r="I205" s="2">
        <v>71</v>
      </c>
      <c r="J205" s="2">
        <v>61</v>
      </c>
      <c r="K205" s="2">
        <v>83</v>
      </c>
      <c r="L205">
        <f t="shared" si="9"/>
        <v>413</v>
      </c>
      <c r="M205" s="4">
        <f t="shared" si="10"/>
        <v>68.833333333333329</v>
      </c>
      <c r="N205" t="str" cm="1">
        <f t="array" ref="N205">_xlfn.IFS(M205&gt;=70,"A",M205&gt;=60,"B",M205&gt;=50,"C",M205&gt;=45,"D",M205&gt;=40,"E",TRUE,"F")</f>
        <v>B</v>
      </c>
      <c r="O205">
        <f t="shared" si="11"/>
        <v>10</v>
      </c>
    </row>
    <row r="206" spans="1:15" x14ac:dyDescent="0.35">
      <c r="A206" s="2" t="s">
        <v>209</v>
      </c>
      <c r="B206" s="2" t="s">
        <v>210</v>
      </c>
      <c r="C206" s="2" t="s">
        <v>23</v>
      </c>
      <c r="D206" s="2" t="s">
        <v>131</v>
      </c>
      <c r="E206" s="2" t="s">
        <v>20</v>
      </c>
      <c r="F206" s="2">
        <v>53</v>
      </c>
      <c r="G206" s="2">
        <v>56</v>
      </c>
      <c r="H206" s="2">
        <v>59</v>
      </c>
      <c r="I206" s="2">
        <v>50</v>
      </c>
      <c r="J206" s="2">
        <v>64</v>
      </c>
      <c r="K206" s="2">
        <v>62</v>
      </c>
      <c r="L206">
        <f t="shared" si="9"/>
        <v>344</v>
      </c>
      <c r="M206" s="4">
        <f t="shared" si="10"/>
        <v>57.333333333333336</v>
      </c>
      <c r="N206" t="str" cm="1">
        <f t="array" ref="N206">_xlfn.IFS(M206&gt;=70,"A",M206&gt;=60,"B",M206&gt;=50,"C",M206&gt;=45,"D",M206&gt;=40,"E",TRUE,"F")</f>
        <v>C</v>
      </c>
      <c r="O206">
        <f t="shared" si="11"/>
        <v>27</v>
      </c>
    </row>
    <row r="207" spans="1:15" x14ac:dyDescent="0.35">
      <c r="A207" s="2" t="s">
        <v>209</v>
      </c>
      <c r="B207" s="2" t="s">
        <v>210</v>
      </c>
      <c r="C207" s="2" t="s">
        <v>23</v>
      </c>
      <c r="D207" s="2" t="s">
        <v>131</v>
      </c>
      <c r="E207" s="2" t="s">
        <v>15</v>
      </c>
      <c r="F207" s="2">
        <v>61</v>
      </c>
      <c r="G207" s="2">
        <v>55</v>
      </c>
      <c r="H207" s="2">
        <v>72</v>
      </c>
      <c r="I207" s="2">
        <v>68</v>
      </c>
      <c r="J207" s="2">
        <v>48</v>
      </c>
      <c r="K207" s="2">
        <v>83</v>
      </c>
      <c r="L207">
        <f t="shared" si="9"/>
        <v>387</v>
      </c>
      <c r="M207" s="4">
        <f t="shared" si="10"/>
        <v>64.5</v>
      </c>
      <c r="N207" t="str" cm="1">
        <f t="array" ref="N207">_xlfn.IFS(M207&gt;=70,"A",M207&gt;=60,"B",M207&gt;=50,"C",M207&gt;=45,"D",M207&gt;=40,"E",TRUE,"F")</f>
        <v>B</v>
      </c>
      <c r="O207">
        <f t="shared" si="11"/>
        <v>14</v>
      </c>
    </row>
    <row r="208" spans="1:15" x14ac:dyDescent="0.35">
      <c r="A208" s="2" t="s">
        <v>209</v>
      </c>
      <c r="B208" s="2" t="s">
        <v>210</v>
      </c>
      <c r="C208" s="2" t="s">
        <v>23</v>
      </c>
      <c r="D208" s="2" t="s">
        <v>131</v>
      </c>
      <c r="E208" s="2" t="s">
        <v>17</v>
      </c>
      <c r="F208" s="2">
        <v>58</v>
      </c>
      <c r="G208" s="2">
        <v>72</v>
      </c>
      <c r="H208" s="2">
        <v>58</v>
      </c>
      <c r="I208" s="2">
        <v>48</v>
      </c>
      <c r="J208" s="2">
        <v>62</v>
      </c>
      <c r="K208" s="2">
        <v>59</v>
      </c>
      <c r="L208">
        <f t="shared" si="9"/>
        <v>357</v>
      </c>
      <c r="M208" s="4">
        <f t="shared" si="10"/>
        <v>59.5</v>
      </c>
      <c r="N208" t="str" cm="1">
        <f t="array" ref="N208">_xlfn.IFS(M208&gt;=70,"A",M208&gt;=60,"B",M208&gt;=50,"C",M208&gt;=45,"D",M208&gt;=40,"E",TRUE,"F")</f>
        <v>C</v>
      </c>
      <c r="O208">
        <f t="shared" si="11"/>
        <v>22</v>
      </c>
    </row>
    <row r="209" spans="1:15" x14ac:dyDescent="0.35">
      <c r="A209" s="2" t="s">
        <v>211</v>
      </c>
      <c r="B209" s="2" t="s">
        <v>213</v>
      </c>
      <c r="C209" s="2" t="s">
        <v>23</v>
      </c>
      <c r="D209" s="2" t="s">
        <v>131</v>
      </c>
      <c r="E209" s="2" t="s">
        <v>20</v>
      </c>
      <c r="F209" s="2">
        <v>64</v>
      </c>
      <c r="G209" s="2">
        <v>77</v>
      </c>
      <c r="H209" s="2">
        <v>64</v>
      </c>
      <c r="I209" s="2">
        <v>74</v>
      </c>
      <c r="J209" s="2">
        <v>70</v>
      </c>
      <c r="K209" s="2">
        <v>61</v>
      </c>
      <c r="L209">
        <f t="shared" si="9"/>
        <v>410</v>
      </c>
      <c r="M209" s="4">
        <f t="shared" si="10"/>
        <v>68.333333333333329</v>
      </c>
      <c r="N209" t="str" cm="1">
        <f t="array" ref="N209">_xlfn.IFS(M209&gt;=70,"A",M209&gt;=60,"B",M209&gt;=50,"C",M209&gt;=45,"D",M209&gt;=40,"E",TRUE,"F")</f>
        <v>B</v>
      </c>
      <c r="O209">
        <f t="shared" si="11"/>
        <v>13</v>
      </c>
    </row>
    <row r="210" spans="1:15" x14ac:dyDescent="0.35">
      <c r="A210" s="2" t="s">
        <v>211</v>
      </c>
      <c r="B210" s="2" t="s">
        <v>213</v>
      </c>
      <c r="C210" s="2" t="s">
        <v>23</v>
      </c>
      <c r="D210" s="2" t="s">
        <v>131</v>
      </c>
      <c r="E210" s="2" t="s">
        <v>15</v>
      </c>
      <c r="F210" s="2">
        <v>65</v>
      </c>
      <c r="G210" s="2">
        <v>55</v>
      </c>
      <c r="H210" s="2">
        <v>62</v>
      </c>
      <c r="I210" s="2">
        <v>81</v>
      </c>
      <c r="J210" s="2">
        <v>62</v>
      </c>
      <c r="K210" s="2">
        <v>78</v>
      </c>
      <c r="L210">
        <f t="shared" si="9"/>
        <v>403</v>
      </c>
      <c r="M210" s="4">
        <f t="shared" si="10"/>
        <v>67.166666666666671</v>
      </c>
      <c r="N210" t="str" cm="1">
        <f t="array" ref="N210">_xlfn.IFS(M210&gt;=70,"A",M210&gt;=60,"B",M210&gt;=50,"C",M210&gt;=45,"D",M210&gt;=40,"E",TRUE,"F")</f>
        <v>B</v>
      </c>
      <c r="O210">
        <f t="shared" si="11"/>
        <v>9</v>
      </c>
    </row>
    <row r="211" spans="1:15" x14ac:dyDescent="0.35">
      <c r="A211" s="2" t="s">
        <v>211</v>
      </c>
      <c r="B211" s="2" t="s">
        <v>213</v>
      </c>
      <c r="C211" s="2" t="s">
        <v>23</v>
      </c>
      <c r="D211" s="2" t="s">
        <v>131</v>
      </c>
      <c r="E211" s="2" t="s">
        <v>17</v>
      </c>
      <c r="F211" s="2">
        <v>72</v>
      </c>
      <c r="G211" s="2">
        <v>69</v>
      </c>
      <c r="H211" s="2">
        <v>74</v>
      </c>
      <c r="I211" s="2">
        <v>79</v>
      </c>
      <c r="J211" s="2">
        <v>84</v>
      </c>
      <c r="K211" s="2">
        <v>72</v>
      </c>
      <c r="L211">
        <f t="shared" si="9"/>
        <v>450</v>
      </c>
      <c r="M211" s="4">
        <f t="shared" si="10"/>
        <v>75</v>
      </c>
      <c r="N211" t="str" cm="1">
        <f t="array" ref="N211">_xlfn.IFS(M211&gt;=70,"A",M211&gt;=60,"B",M211&gt;=50,"C",M211&gt;=45,"D",M211&gt;=40,"E",TRUE,"F")</f>
        <v>A</v>
      </c>
      <c r="O211">
        <f t="shared" si="11"/>
        <v>5</v>
      </c>
    </row>
    <row r="212" spans="1:15" x14ac:dyDescent="0.35">
      <c r="A212" s="2" t="s">
        <v>215</v>
      </c>
      <c r="B212" s="2" t="s">
        <v>216</v>
      </c>
      <c r="C212" s="2" t="s">
        <v>18</v>
      </c>
      <c r="D212" s="2" t="s">
        <v>131</v>
      </c>
      <c r="E212" s="2" t="s">
        <v>20</v>
      </c>
      <c r="F212" s="2">
        <v>61</v>
      </c>
      <c r="G212" s="2">
        <v>60</v>
      </c>
      <c r="H212" s="2">
        <v>52</v>
      </c>
      <c r="I212" s="2">
        <v>54</v>
      </c>
      <c r="J212" s="2">
        <v>56</v>
      </c>
      <c r="K212" s="2">
        <v>73</v>
      </c>
      <c r="L212">
        <f t="shared" si="9"/>
        <v>356</v>
      </c>
      <c r="M212" s="4">
        <f t="shared" si="10"/>
        <v>59.333333333333336</v>
      </c>
      <c r="N212" t="str" cm="1">
        <f t="array" ref="N212">_xlfn.IFS(M212&gt;=70,"A",M212&gt;=60,"B",M212&gt;=50,"C",M212&gt;=45,"D",M212&gt;=40,"E",TRUE,"F")</f>
        <v>C</v>
      </c>
      <c r="O212">
        <f t="shared" si="11"/>
        <v>23</v>
      </c>
    </row>
    <row r="213" spans="1:15" x14ac:dyDescent="0.35">
      <c r="A213" s="2" t="s">
        <v>215</v>
      </c>
      <c r="B213" s="2" t="s">
        <v>216</v>
      </c>
      <c r="C213" s="2" t="s">
        <v>18</v>
      </c>
      <c r="D213" s="2" t="s">
        <v>131</v>
      </c>
      <c r="E213" s="2" t="s">
        <v>15</v>
      </c>
      <c r="F213" s="2">
        <v>51</v>
      </c>
      <c r="G213" s="2">
        <v>67</v>
      </c>
      <c r="H213" s="2">
        <v>50</v>
      </c>
      <c r="I213" s="2">
        <v>58</v>
      </c>
      <c r="J213" s="2">
        <v>56</v>
      </c>
      <c r="K213" s="2">
        <v>56</v>
      </c>
      <c r="L213">
        <f t="shared" si="9"/>
        <v>338</v>
      </c>
      <c r="M213" s="4">
        <f t="shared" si="10"/>
        <v>56.333333333333336</v>
      </c>
      <c r="N213" t="str" cm="1">
        <f t="array" ref="N213">_xlfn.IFS(M213&gt;=70,"A",M213&gt;=60,"B",M213&gt;=50,"C",M213&gt;=45,"D",M213&gt;=40,"E",TRUE,"F")</f>
        <v>C</v>
      </c>
      <c r="O213">
        <f t="shared" si="11"/>
        <v>26</v>
      </c>
    </row>
    <row r="214" spans="1:15" x14ac:dyDescent="0.35">
      <c r="A214" s="2" t="s">
        <v>215</v>
      </c>
      <c r="B214" s="2" t="s">
        <v>216</v>
      </c>
      <c r="C214" s="2" t="s">
        <v>18</v>
      </c>
      <c r="D214" s="2" t="s">
        <v>131</v>
      </c>
      <c r="E214" s="2" t="s">
        <v>17</v>
      </c>
      <c r="F214" s="2">
        <v>51</v>
      </c>
      <c r="G214" s="2">
        <v>64</v>
      </c>
      <c r="H214" s="2">
        <v>70</v>
      </c>
      <c r="I214" s="2">
        <v>65</v>
      </c>
      <c r="J214" s="2">
        <v>54</v>
      </c>
      <c r="K214" s="2">
        <v>52</v>
      </c>
      <c r="L214">
        <f t="shared" si="9"/>
        <v>356</v>
      </c>
      <c r="M214" s="4">
        <f t="shared" si="10"/>
        <v>59.333333333333336</v>
      </c>
      <c r="N214" t="str" cm="1">
        <f t="array" ref="N214">_xlfn.IFS(M214&gt;=70,"A",M214&gt;=60,"B",M214&gt;=50,"C",M214&gt;=45,"D",M214&gt;=40,"E",TRUE,"F")</f>
        <v>C</v>
      </c>
      <c r="O214">
        <f t="shared" si="11"/>
        <v>23</v>
      </c>
    </row>
    <row r="215" spans="1:15" x14ac:dyDescent="0.35">
      <c r="A215" s="2" t="s">
        <v>217</v>
      </c>
      <c r="B215" s="2" t="s">
        <v>218</v>
      </c>
      <c r="C215" s="2" t="s">
        <v>18</v>
      </c>
      <c r="D215" s="2" t="s">
        <v>131</v>
      </c>
      <c r="E215" s="2" t="s">
        <v>20</v>
      </c>
      <c r="F215" s="2">
        <v>65</v>
      </c>
      <c r="G215" s="2">
        <v>74</v>
      </c>
      <c r="H215" s="2">
        <v>75</v>
      </c>
      <c r="I215" s="2">
        <v>84</v>
      </c>
      <c r="J215" s="2">
        <v>82</v>
      </c>
      <c r="K215" s="2">
        <v>84</v>
      </c>
      <c r="L215">
        <f t="shared" si="9"/>
        <v>464</v>
      </c>
      <c r="M215" s="4">
        <f t="shared" si="10"/>
        <v>77.333333333333329</v>
      </c>
      <c r="N215" t="str" cm="1">
        <f t="array" ref="N215">_xlfn.IFS(M215&gt;=70,"A",M215&gt;=60,"B",M215&gt;=50,"C",M215&gt;=45,"D",M215&gt;=40,"E",TRUE,"F")</f>
        <v>A</v>
      </c>
      <c r="O215">
        <f t="shared" si="11"/>
        <v>6</v>
      </c>
    </row>
    <row r="216" spans="1:15" x14ac:dyDescent="0.35">
      <c r="A216" s="2" t="s">
        <v>217</v>
      </c>
      <c r="B216" s="2" t="s">
        <v>218</v>
      </c>
      <c r="C216" s="2" t="s">
        <v>18</v>
      </c>
      <c r="D216" s="2" t="s">
        <v>131</v>
      </c>
      <c r="E216" s="2" t="s">
        <v>15</v>
      </c>
      <c r="F216" s="2">
        <v>61</v>
      </c>
      <c r="G216" s="2">
        <v>58</v>
      </c>
      <c r="H216" s="2">
        <v>72</v>
      </c>
      <c r="I216" s="2">
        <v>73</v>
      </c>
      <c r="J216" s="2">
        <v>69</v>
      </c>
      <c r="K216" s="2">
        <v>78</v>
      </c>
      <c r="L216">
        <f t="shared" si="9"/>
        <v>411</v>
      </c>
      <c r="M216" s="4">
        <f t="shared" si="10"/>
        <v>68.5</v>
      </c>
      <c r="N216" t="str" cm="1">
        <f t="array" ref="N216">_xlfn.IFS(M216&gt;=70,"A",M216&gt;=60,"B",M216&gt;=50,"C",M216&gt;=45,"D",M216&gt;=40,"E",TRUE,"F")</f>
        <v>B</v>
      </c>
      <c r="O216">
        <f t="shared" si="11"/>
        <v>6</v>
      </c>
    </row>
    <row r="217" spans="1:15" x14ac:dyDescent="0.35">
      <c r="A217" s="2" t="s">
        <v>217</v>
      </c>
      <c r="B217" s="2" t="s">
        <v>218</v>
      </c>
      <c r="C217" s="2" t="s">
        <v>18</v>
      </c>
      <c r="D217" s="2" t="s">
        <v>131</v>
      </c>
      <c r="E217" s="2" t="s">
        <v>17</v>
      </c>
      <c r="F217" s="2">
        <v>60</v>
      </c>
      <c r="G217" s="2">
        <v>79</v>
      </c>
      <c r="H217" s="2">
        <v>60</v>
      </c>
      <c r="I217" s="2">
        <v>69</v>
      </c>
      <c r="J217" s="2">
        <v>66</v>
      </c>
      <c r="K217" s="2">
        <v>75</v>
      </c>
      <c r="L217">
        <f t="shared" si="9"/>
        <v>409</v>
      </c>
      <c r="M217" s="4">
        <f t="shared" si="10"/>
        <v>68.166666666666671</v>
      </c>
      <c r="N217" t="str" cm="1">
        <f t="array" ref="N217">_xlfn.IFS(M217&gt;=70,"A",M217&gt;=60,"B",M217&gt;=50,"C",M217&gt;=45,"D",M217&gt;=40,"E",TRUE,"F")</f>
        <v>B</v>
      </c>
      <c r="O217">
        <f t="shared" si="11"/>
        <v>11</v>
      </c>
    </row>
    <row r="218" spans="1:15" x14ac:dyDescent="0.35">
      <c r="A218" s="2" t="s">
        <v>220</v>
      </c>
      <c r="B218" s="2" t="s">
        <v>221</v>
      </c>
      <c r="C218" s="2" t="s">
        <v>23</v>
      </c>
      <c r="D218" s="2" t="s">
        <v>131</v>
      </c>
      <c r="E218" s="2" t="s">
        <v>20</v>
      </c>
      <c r="F218" s="2">
        <v>74</v>
      </c>
      <c r="G218" s="2">
        <v>70</v>
      </c>
      <c r="H218" s="2">
        <v>73</v>
      </c>
      <c r="I218" s="2">
        <v>74</v>
      </c>
      <c r="J218" s="2">
        <v>78</v>
      </c>
      <c r="K218" s="2">
        <v>81</v>
      </c>
      <c r="L218">
        <f t="shared" si="9"/>
        <v>450</v>
      </c>
      <c r="M218" s="4">
        <f t="shared" si="10"/>
        <v>75</v>
      </c>
      <c r="N218" t="str" cm="1">
        <f t="array" ref="N218">_xlfn.IFS(M218&gt;=70,"A",M218&gt;=60,"B",M218&gt;=50,"C",M218&gt;=45,"D",M218&gt;=40,"E",TRUE,"F")</f>
        <v>A</v>
      </c>
      <c r="O218">
        <f t="shared" si="11"/>
        <v>7</v>
      </c>
    </row>
    <row r="219" spans="1:15" x14ac:dyDescent="0.35">
      <c r="A219" s="2" t="s">
        <v>220</v>
      </c>
      <c r="B219" s="2" t="s">
        <v>221</v>
      </c>
      <c r="C219" s="2" t="s">
        <v>23</v>
      </c>
      <c r="D219" s="2" t="s">
        <v>131</v>
      </c>
      <c r="E219" s="2" t="s">
        <v>15</v>
      </c>
      <c r="F219" s="2">
        <v>69</v>
      </c>
      <c r="G219" s="2">
        <v>61</v>
      </c>
      <c r="H219" s="2">
        <v>51</v>
      </c>
      <c r="I219" s="2">
        <v>73</v>
      </c>
      <c r="J219" s="2">
        <v>80</v>
      </c>
      <c r="K219" s="2">
        <v>71</v>
      </c>
      <c r="L219">
        <f t="shared" si="9"/>
        <v>405</v>
      </c>
      <c r="M219" s="4">
        <f t="shared" si="10"/>
        <v>67.5</v>
      </c>
      <c r="N219" t="str" cm="1">
        <f t="array" ref="N219">_xlfn.IFS(M219&gt;=70,"A",M219&gt;=60,"B",M219&gt;=50,"C",M219&gt;=45,"D",M219&gt;=40,"E",TRUE,"F")</f>
        <v>B</v>
      </c>
      <c r="O219">
        <f t="shared" si="11"/>
        <v>8</v>
      </c>
    </row>
    <row r="220" spans="1:15" x14ac:dyDescent="0.35">
      <c r="A220" s="2" t="s">
        <v>220</v>
      </c>
      <c r="B220" s="2" t="s">
        <v>221</v>
      </c>
      <c r="C220" s="2" t="s">
        <v>23</v>
      </c>
      <c r="D220" s="2" t="s">
        <v>131</v>
      </c>
      <c r="E220" s="2" t="s">
        <v>17</v>
      </c>
      <c r="F220" s="2">
        <v>66</v>
      </c>
      <c r="G220" s="2">
        <v>61</v>
      </c>
      <c r="H220" s="2">
        <v>65</v>
      </c>
      <c r="I220" s="2">
        <v>73</v>
      </c>
      <c r="J220" s="2">
        <v>72</v>
      </c>
      <c r="K220" s="2">
        <v>68</v>
      </c>
      <c r="L220">
        <f t="shared" si="9"/>
        <v>405</v>
      </c>
      <c r="M220" s="4">
        <f t="shared" si="10"/>
        <v>67.5</v>
      </c>
      <c r="N220" t="str" cm="1">
        <f t="array" ref="N220">_xlfn.IFS(M220&gt;=70,"A",M220&gt;=60,"B",M220&gt;=50,"C",M220&gt;=45,"D",M220&gt;=40,"E",TRUE,"F")</f>
        <v>B</v>
      </c>
      <c r="O220">
        <f t="shared" si="11"/>
        <v>13</v>
      </c>
    </row>
    <row r="221" spans="1:15" x14ac:dyDescent="0.35">
      <c r="A221" s="2" t="s">
        <v>224</v>
      </c>
      <c r="B221" s="2" t="s">
        <v>225</v>
      </c>
      <c r="C221" s="2" t="s">
        <v>18</v>
      </c>
      <c r="D221" s="2" t="s">
        <v>131</v>
      </c>
      <c r="E221" s="2" t="s">
        <v>20</v>
      </c>
      <c r="F221" s="2">
        <v>55</v>
      </c>
      <c r="G221" s="2">
        <v>80</v>
      </c>
      <c r="H221" s="2">
        <v>74</v>
      </c>
      <c r="I221" s="2">
        <v>60</v>
      </c>
      <c r="J221" s="2">
        <v>77</v>
      </c>
      <c r="K221" s="2">
        <v>73</v>
      </c>
      <c r="L221">
        <f t="shared" si="9"/>
        <v>419</v>
      </c>
      <c r="M221" s="4">
        <f t="shared" si="10"/>
        <v>69.833333333333329</v>
      </c>
      <c r="N221" t="str" cm="1">
        <f t="array" ref="N221">_xlfn.IFS(M221&gt;=70,"A",M221&gt;=60,"B",M221&gt;=50,"C",M221&gt;=45,"D",M221&gt;=40,"E",TRUE,"F")</f>
        <v>B</v>
      </c>
      <c r="O221">
        <f t="shared" si="11"/>
        <v>11</v>
      </c>
    </row>
    <row r="222" spans="1:15" x14ac:dyDescent="0.35">
      <c r="A222" s="2" t="s">
        <v>224</v>
      </c>
      <c r="B222" s="2" t="s">
        <v>225</v>
      </c>
      <c r="C222" s="2" t="s">
        <v>18</v>
      </c>
      <c r="D222" s="2" t="s">
        <v>131</v>
      </c>
      <c r="E222" s="2" t="s">
        <v>15</v>
      </c>
      <c r="F222" s="2">
        <v>50</v>
      </c>
      <c r="G222" s="2">
        <v>64</v>
      </c>
      <c r="H222" s="2">
        <v>71</v>
      </c>
      <c r="I222" s="2">
        <v>75</v>
      </c>
      <c r="J222" s="2">
        <v>67</v>
      </c>
      <c r="K222" s="2">
        <v>76</v>
      </c>
      <c r="L222">
        <f t="shared" si="9"/>
        <v>403</v>
      </c>
      <c r="M222" s="4">
        <f t="shared" si="10"/>
        <v>67.166666666666671</v>
      </c>
      <c r="N222" t="str" cm="1">
        <f t="array" ref="N222">_xlfn.IFS(M222&gt;=70,"A",M222&gt;=60,"B",M222&gt;=50,"C",M222&gt;=45,"D",M222&gt;=40,"E",TRUE,"F")</f>
        <v>B</v>
      </c>
      <c r="O222">
        <f t="shared" si="11"/>
        <v>9</v>
      </c>
    </row>
    <row r="223" spans="1:15" x14ac:dyDescent="0.35">
      <c r="A223" s="2" t="s">
        <v>224</v>
      </c>
      <c r="B223" s="2" t="s">
        <v>225</v>
      </c>
      <c r="C223" s="2" t="s">
        <v>18</v>
      </c>
      <c r="D223" s="2" t="s">
        <v>131</v>
      </c>
      <c r="E223" s="2" t="s">
        <v>17</v>
      </c>
      <c r="F223" s="2">
        <v>47</v>
      </c>
      <c r="G223" s="2">
        <v>72</v>
      </c>
      <c r="H223" s="2">
        <v>61</v>
      </c>
      <c r="I223" s="2">
        <v>53</v>
      </c>
      <c r="J223" s="2">
        <v>67</v>
      </c>
      <c r="K223" s="2">
        <v>75</v>
      </c>
      <c r="L223">
        <f t="shared" si="9"/>
        <v>375</v>
      </c>
      <c r="M223" s="4">
        <f t="shared" si="10"/>
        <v>62.5</v>
      </c>
      <c r="N223" t="str" cm="1">
        <f t="array" ref="N223">_xlfn.IFS(M223&gt;=70,"A",M223&gt;=60,"B",M223&gt;=50,"C",M223&gt;=45,"D",M223&gt;=40,"E",TRUE,"F")</f>
        <v>B</v>
      </c>
      <c r="O223">
        <f t="shared" si="11"/>
        <v>18</v>
      </c>
    </row>
    <row r="224" spans="1:15" x14ac:dyDescent="0.35">
      <c r="A224" s="2" t="s">
        <v>227</v>
      </c>
      <c r="B224" s="2" t="s">
        <v>229</v>
      </c>
      <c r="C224" s="2" t="s">
        <v>23</v>
      </c>
      <c r="D224" s="2" t="s">
        <v>131</v>
      </c>
      <c r="E224" s="2" t="s">
        <v>20</v>
      </c>
      <c r="F224" s="2">
        <v>51</v>
      </c>
      <c r="G224" s="2">
        <v>59</v>
      </c>
      <c r="H224" s="2">
        <v>62</v>
      </c>
      <c r="I224" s="2">
        <v>73</v>
      </c>
      <c r="J224" s="2">
        <v>70</v>
      </c>
      <c r="K224" s="2">
        <v>75</v>
      </c>
      <c r="L224">
        <f t="shared" si="9"/>
        <v>390</v>
      </c>
      <c r="M224" s="4">
        <f t="shared" si="10"/>
        <v>65</v>
      </c>
      <c r="N224" t="str" cm="1">
        <f t="array" ref="N224">_xlfn.IFS(M224&gt;=70,"A",M224&gt;=60,"B",M224&gt;=50,"C",M224&gt;=45,"D",M224&gt;=40,"E",TRUE,"F")</f>
        <v>B</v>
      </c>
      <c r="O224">
        <f t="shared" si="11"/>
        <v>18</v>
      </c>
    </row>
    <row r="225" spans="1:15" x14ac:dyDescent="0.35">
      <c r="A225" s="2" t="s">
        <v>227</v>
      </c>
      <c r="B225" s="2" t="s">
        <v>229</v>
      </c>
      <c r="C225" s="2" t="s">
        <v>23</v>
      </c>
      <c r="D225" s="2" t="s">
        <v>131</v>
      </c>
      <c r="E225" s="2" t="s">
        <v>15</v>
      </c>
      <c r="F225" s="2">
        <v>50</v>
      </c>
      <c r="G225" s="2">
        <v>58</v>
      </c>
      <c r="H225" s="2">
        <v>55</v>
      </c>
      <c r="I225" s="2">
        <v>54</v>
      </c>
      <c r="J225" s="2">
        <v>61</v>
      </c>
      <c r="K225" s="2">
        <v>71</v>
      </c>
      <c r="L225">
        <f t="shared" si="9"/>
        <v>349</v>
      </c>
      <c r="M225" s="4">
        <f t="shared" si="10"/>
        <v>58.166666666666664</v>
      </c>
      <c r="N225" t="str" cm="1">
        <f t="array" ref="N225">_xlfn.IFS(M225&gt;=70,"A",M225&gt;=60,"B",M225&gt;=50,"C",M225&gt;=45,"D",M225&gt;=40,"E",TRUE,"F")</f>
        <v>C</v>
      </c>
      <c r="O225">
        <f t="shared" si="11"/>
        <v>21</v>
      </c>
    </row>
    <row r="226" spans="1:15" x14ac:dyDescent="0.35">
      <c r="A226" s="2" t="s">
        <v>227</v>
      </c>
      <c r="B226" s="2" t="s">
        <v>229</v>
      </c>
      <c r="C226" s="2" t="s">
        <v>23</v>
      </c>
      <c r="D226" s="2" t="s">
        <v>131</v>
      </c>
      <c r="E226" s="2" t="s">
        <v>17</v>
      </c>
      <c r="F226" s="2">
        <v>68</v>
      </c>
      <c r="G226" s="2">
        <v>74</v>
      </c>
      <c r="H226" s="2">
        <v>58</v>
      </c>
      <c r="I226" s="2">
        <v>66</v>
      </c>
      <c r="J226" s="2">
        <v>62</v>
      </c>
      <c r="K226" s="2">
        <v>77</v>
      </c>
      <c r="L226">
        <f t="shared" si="9"/>
        <v>405</v>
      </c>
      <c r="M226" s="4">
        <f t="shared" si="10"/>
        <v>67.5</v>
      </c>
      <c r="N226" t="str" cm="1">
        <f t="array" ref="N226">_xlfn.IFS(M226&gt;=70,"A",M226&gt;=60,"B",M226&gt;=50,"C",M226&gt;=45,"D",M226&gt;=40,"E",TRUE,"F")</f>
        <v>B</v>
      </c>
      <c r="O226">
        <f t="shared" si="11"/>
        <v>13</v>
      </c>
    </row>
    <row r="227" spans="1:15" x14ac:dyDescent="0.35">
      <c r="A227" s="2" t="s">
        <v>230</v>
      </c>
      <c r="B227" s="2" t="s">
        <v>232</v>
      </c>
      <c r="C227" s="2" t="s">
        <v>18</v>
      </c>
      <c r="D227" s="2" t="s">
        <v>131</v>
      </c>
      <c r="E227" s="2" t="s">
        <v>15</v>
      </c>
      <c r="F227" s="2">
        <v>48</v>
      </c>
      <c r="G227" s="2">
        <v>55</v>
      </c>
      <c r="H227" s="2">
        <v>44</v>
      </c>
      <c r="I227" s="2">
        <v>54</v>
      </c>
      <c r="J227" s="2">
        <v>61</v>
      </c>
      <c r="K227" s="2">
        <v>61</v>
      </c>
      <c r="L227">
        <f t="shared" si="9"/>
        <v>323</v>
      </c>
      <c r="M227" s="4">
        <f t="shared" si="10"/>
        <v>53.833333333333336</v>
      </c>
      <c r="N227" t="str" cm="1">
        <f t="array" ref="N227">_xlfn.IFS(M227&gt;=70,"A",M227&gt;=60,"B",M227&gt;=50,"C",M227&gt;=45,"D",M227&gt;=40,"E",TRUE,"F")</f>
        <v>C</v>
      </c>
      <c r="O227">
        <f t="shared" si="11"/>
        <v>29</v>
      </c>
    </row>
    <row r="228" spans="1:15" x14ac:dyDescent="0.35">
      <c r="A228" s="2" t="s">
        <v>230</v>
      </c>
      <c r="B228" s="2" t="s">
        <v>232</v>
      </c>
      <c r="C228" s="2" t="s">
        <v>18</v>
      </c>
      <c r="D228" s="2" t="s">
        <v>131</v>
      </c>
      <c r="E228" s="2" t="s">
        <v>17</v>
      </c>
      <c r="F228" s="2">
        <v>48</v>
      </c>
      <c r="G228" s="2">
        <v>42</v>
      </c>
      <c r="H228" s="2">
        <v>51</v>
      </c>
      <c r="I228" s="2">
        <v>60</v>
      </c>
      <c r="J228" s="2">
        <v>50</v>
      </c>
      <c r="K228" s="2">
        <v>55</v>
      </c>
      <c r="L228">
        <f t="shared" si="9"/>
        <v>306</v>
      </c>
      <c r="M228" s="4">
        <f t="shared" si="10"/>
        <v>51</v>
      </c>
      <c r="N228" t="str" cm="1">
        <f t="array" ref="N228">_xlfn.IFS(M228&gt;=70,"A",M228&gt;=60,"B",M228&gt;=50,"C",M228&gt;=45,"D",M228&gt;=40,"E",TRUE,"F")</f>
        <v>C</v>
      </c>
      <c r="O228">
        <f t="shared" si="11"/>
        <v>34</v>
      </c>
    </row>
    <row r="229" spans="1:15" x14ac:dyDescent="0.35">
      <c r="A229" s="2" t="s">
        <v>230</v>
      </c>
      <c r="B229" s="2" t="s">
        <v>232</v>
      </c>
      <c r="C229" s="2" t="s">
        <v>18</v>
      </c>
      <c r="D229" s="2" t="s">
        <v>131</v>
      </c>
      <c r="E229" s="2" t="s">
        <v>20</v>
      </c>
      <c r="F229" s="2">
        <v>36</v>
      </c>
      <c r="G229" s="2">
        <v>44</v>
      </c>
      <c r="H229" s="2">
        <v>41</v>
      </c>
      <c r="I229" s="2">
        <v>54</v>
      </c>
      <c r="J229" s="2">
        <v>48</v>
      </c>
      <c r="K229" s="2">
        <v>52</v>
      </c>
      <c r="L229">
        <f t="shared" si="9"/>
        <v>275</v>
      </c>
      <c r="M229" s="4">
        <f t="shared" si="10"/>
        <v>45.833333333333336</v>
      </c>
      <c r="N229" t="str" cm="1">
        <f t="array" ref="N229">_xlfn.IFS(M229&gt;=70,"A",M229&gt;=60,"B",M229&gt;=50,"C",M229&gt;=45,"D",M229&gt;=40,"E",TRUE,"F")</f>
        <v>D</v>
      </c>
      <c r="O229">
        <f t="shared" si="11"/>
        <v>39</v>
      </c>
    </row>
    <row r="230" spans="1:15" x14ac:dyDescent="0.35">
      <c r="A230" s="2" t="s">
        <v>233</v>
      </c>
      <c r="B230" s="2" t="s">
        <v>235</v>
      </c>
      <c r="C230" s="2" t="s">
        <v>18</v>
      </c>
      <c r="D230" s="2" t="s">
        <v>131</v>
      </c>
      <c r="E230" s="2" t="s">
        <v>20</v>
      </c>
      <c r="F230" s="2">
        <v>91</v>
      </c>
      <c r="G230" s="2">
        <v>88</v>
      </c>
      <c r="H230" s="2">
        <v>98</v>
      </c>
      <c r="I230" s="2">
        <v>98</v>
      </c>
      <c r="J230" s="2">
        <v>92</v>
      </c>
      <c r="K230" s="2">
        <v>82</v>
      </c>
      <c r="L230">
        <f t="shared" si="9"/>
        <v>549</v>
      </c>
      <c r="M230" s="4">
        <f t="shared" si="10"/>
        <v>91.5</v>
      </c>
      <c r="N230" t="str" cm="1">
        <f t="array" ref="N230">_xlfn.IFS(M230&gt;=70,"A",M230&gt;=60,"B",M230&gt;=50,"C",M230&gt;=45,"D",M230&gt;=40,"E",TRUE,"F")</f>
        <v>A</v>
      </c>
      <c r="O230">
        <f t="shared" si="11"/>
        <v>1</v>
      </c>
    </row>
    <row r="231" spans="1:15" x14ac:dyDescent="0.35">
      <c r="A231" s="2" t="s">
        <v>233</v>
      </c>
      <c r="B231" s="2" t="s">
        <v>235</v>
      </c>
      <c r="C231" s="2" t="s">
        <v>18</v>
      </c>
      <c r="D231" s="2" t="s">
        <v>131</v>
      </c>
      <c r="E231" s="2" t="s">
        <v>15</v>
      </c>
      <c r="F231" s="2">
        <v>66</v>
      </c>
      <c r="G231" s="2">
        <v>62</v>
      </c>
      <c r="H231" s="2">
        <v>70</v>
      </c>
      <c r="I231" s="2">
        <v>71</v>
      </c>
      <c r="J231" s="2">
        <v>69</v>
      </c>
      <c r="K231" s="2">
        <v>69</v>
      </c>
      <c r="L231">
        <f t="shared" si="9"/>
        <v>407</v>
      </c>
      <c r="M231" s="4">
        <f t="shared" si="10"/>
        <v>67.833333333333329</v>
      </c>
      <c r="N231" t="str" cm="1">
        <f t="array" ref="N231">_xlfn.IFS(M231&gt;=70,"A",M231&gt;=60,"B",M231&gt;=50,"C",M231&gt;=45,"D",M231&gt;=40,"E",TRUE,"F")</f>
        <v>B</v>
      </c>
      <c r="O231">
        <f t="shared" si="11"/>
        <v>7</v>
      </c>
    </row>
    <row r="232" spans="1:15" x14ac:dyDescent="0.35">
      <c r="A232" s="2" t="s">
        <v>233</v>
      </c>
      <c r="B232" s="2" t="s">
        <v>235</v>
      </c>
      <c r="C232" s="2" t="s">
        <v>18</v>
      </c>
      <c r="D232" s="2" t="s">
        <v>131</v>
      </c>
      <c r="E232" s="2" t="s">
        <v>17</v>
      </c>
      <c r="F232" s="2">
        <v>73</v>
      </c>
      <c r="G232" s="2">
        <v>75</v>
      </c>
      <c r="H232" s="2">
        <v>91</v>
      </c>
      <c r="I232" s="2">
        <v>93</v>
      </c>
      <c r="J232" s="2">
        <v>81</v>
      </c>
      <c r="K232" s="2">
        <v>90</v>
      </c>
      <c r="L232">
        <f t="shared" si="9"/>
        <v>503</v>
      </c>
      <c r="M232" s="4">
        <f t="shared" si="10"/>
        <v>83.833333333333329</v>
      </c>
      <c r="N232" t="str" cm="1">
        <f t="array" ref="N232">_xlfn.IFS(M232&gt;=70,"A",M232&gt;=60,"B",M232&gt;=50,"C",M232&gt;=45,"D",M232&gt;=40,"E",TRUE,"F")</f>
        <v>A</v>
      </c>
      <c r="O232">
        <f t="shared" si="11"/>
        <v>1</v>
      </c>
    </row>
    <row r="233" spans="1:15" x14ac:dyDescent="0.35">
      <c r="A233" s="2" t="s">
        <v>237</v>
      </c>
      <c r="B233" s="2" t="s">
        <v>240</v>
      </c>
      <c r="C233" s="2" t="s">
        <v>23</v>
      </c>
      <c r="D233" s="2" t="s">
        <v>131</v>
      </c>
      <c r="E233" s="2" t="s">
        <v>20</v>
      </c>
      <c r="F233" s="2">
        <v>59</v>
      </c>
      <c r="G233" s="2">
        <v>63</v>
      </c>
      <c r="H233" s="2">
        <v>69</v>
      </c>
      <c r="I233" s="2">
        <v>68</v>
      </c>
      <c r="J233" s="2">
        <v>75</v>
      </c>
      <c r="K233" s="2">
        <v>61</v>
      </c>
      <c r="L233">
        <f t="shared" si="9"/>
        <v>395</v>
      </c>
      <c r="M233" s="4">
        <f t="shared" si="10"/>
        <v>65.833333333333329</v>
      </c>
      <c r="N233" t="str" cm="1">
        <f t="array" ref="N233">_xlfn.IFS(M233&gt;=70,"A",M233&gt;=60,"B",M233&gt;=50,"C",M233&gt;=45,"D",M233&gt;=40,"E",TRUE,"F")</f>
        <v>B</v>
      </c>
      <c r="O233">
        <f t="shared" si="11"/>
        <v>15</v>
      </c>
    </row>
    <row r="234" spans="1:15" x14ac:dyDescent="0.35">
      <c r="A234" s="2" t="s">
        <v>237</v>
      </c>
      <c r="B234" s="2" t="s">
        <v>240</v>
      </c>
      <c r="C234" s="2" t="s">
        <v>23</v>
      </c>
      <c r="D234" s="2" t="s">
        <v>131</v>
      </c>
      <c r="E234" s="2" t="s">
        <v>15</v>
      </c>
      <c r="F234" s="2">
        <v>50</v>
      </c>
      <c r="G234" s="2">
        <v>65</v>
      </c>
      <c r="H234" s="2">
        <v>57</v>
      </c>
      <c r="I234" s="2">
        <v>65</v>
      </c>
      <c r="J234" s="2">
        <v>61</v>
      </c>
      <c r="K234" s="2">
        <v>70</v>
      </c>
      <c r="L234">
        <f t="shared" si="9"/>
        <v>368</v>
      </c>
      <c r="M234" s="4">
        <f t="shared" si="10"/>
        <v>61.333333333333336</v>
      </c>
      <c r="N234" t="str" cm="1">
        <f t="array" ref="N234">_xlfn.IFS(M234&gt;=70,"A",M234&gt;=60,"B",M234&gt;=50,"C",M234&gt;=45,"D",M234&gt;=40,"E",TRUE,"F")</f>
        <v>B</v>
      </c>
      <c r="O234">
        <f t="shared" si="11"/>
        <v>18</v>
      </c>
    </row>
    <row r="235" spans="1:15" x14ac:dyDescent="0.35">
      <c r="A235" s="2" t="s">
        <v>237</v>
      </c>
      <c r="B235" s="2" t="s">
        <v>240</v>
      </c>
      <c r="C235" s="2" t="s">
        <v>23</v>
      </c>
      <c r="D235" s="2" t="s">
        <v>131</v>
      </c>
      <c r="E235" s="2" t="s">
        <v>17</v>
      </c>
      <c r="F235" s="2">
        <v>55</v>
      </c>
      <c r="G235" s="2">
        <v>53</v>
      </c>
      <c r="H235" s="2">
        <v>60</v>
      </c>
      <c r="I235" s="2">
        <v>63</v>
      </c>
      <c r="J235" s="2">
        <v>57</v>
      </c>
      <c r="K235" s="2">
        <v>80</v>
      </c>
      <c r="L235">
        <f t="shared" si="9"/>
        <v>368</v>
      </c>
      <c r="M235" s="4">
        <f t="shared" si="10"/>
        <v>61.333333333333336</v>
      </c>
      <c r="N235" t="str" cm="1">
        <f t="array" ref="N235">_xlfn.IFS(M235&gt;=70,"A",M235&gt;=60,"B",M235&gt;=50,"C",M235&gt;=45,"D",M235&gt;=40,"E",TRUE,"F")</f>
        <v>B</v>
      </c>
      <c r="O235">
        <f t="shared" si="11"/>
        <v>20</v>
      </c>
    </row>
    <row r="236" spans="1:15" x14ac:dyDescent="0.35">
      <c r="A236" s="2" t="s">
        <v>241</v>
      </c>
      <c r="B236" s="2" t="s">
        <v>242</v>
      </c>
      <c r="C236" s="2" t="s">
        <v>18</v>
      </c>
      <c r="D236" s="2" t="s">
        <v>131</v>
      </c>
      <c r="E236" s="2" t="s">
        <v>20</v>
      </c>
      <c r="F236" s="2">
        <v>47</v>
      </c>
      <c r="G236" s="2">
        <v>54</v>
      </c>
      <c r="H236" s="2">
        <v>64</v>
      </c>
      <c r="I236" s="2">
        <v>64</v>
      </c>
      <c r="J236" s="2">
        <v>69</v>
      </c>
      <c r="K236" s="2">
        <v>52</v>
      </c>
      <c r="L236">
        <f t="shared" si="9"/>
        <v>350</v>
      </c>
      <c r="M236" s="4">
        <f t="shared" si="10"/>
        <v>58.333333333333336</v>
      </c>
      <c r="N236" t="str" cm="1">
        <f t="array" ref="N236">_xlfn.IFS(M236&gt;=70,"A",M236&gt;=60,"B",M236&gt;=50,"C",M236&gt;=45,"D",M236&gt;=40,"E",TRUE,"F")</f>
        <v>C</v>
      </c>
      <c r="O236">
        <f t="shared" si="11"/>
        <v>24</v>
      </c>
    </row>
    <row r="237" spans="1:15" x14ac:dyDescent="0.35">
      <c r="A237" s="2" t="s">
        <v>241</v>
      </c>
      <c r="B237" s="2" t="s">
        <v>242</v>
      </c>
      <c r="C237" s="2" t="s">
        <v>18</v>
      </c>
      <c r="D237" s="2" t="s">
        <v>131</v>
      </c>
      <c r="E237" s="2" t="s">
        <v>15</v>
      </c>
      <c r="F237" s="2">
        <v>42</v>
      </c>
      <c r="G237" s="2">
        <v>59</v>
      </c>
      <c r="H237" s="2">
        <v>64</v>
      </c>
      <c r="I237" s="2">
        <v>59</v>
      </c>
      <c r="J237" s="2">
        <v>61</v>
      </c>
      <c r="K237" s="2">
        <v>56</v>
      </c>
      <c r="L237">
        <f t="shared" si="9"/>
        <v>341</v>
      </c>
      <c r="M237" s="4">
        <f t="shared" si="10"/>
        <v>56.833333333333336</v>
      </c>
      <c r="N237" t="str" cm="1">
        <f t="array" ref="N237">_xlfn.IFS(M237&gt;=70,"A",M237&gt;=60,"B",M237&gt;=50,"C",M237&gt;=45,"D",M237&gt;=40,"E",TRUE,"F")</f>
        <v>C</v>
      </c>
      <c r="O237">
        <f t="shared" si="11"/>
        <v>23</v>
      </c>
    </row>
    <row r="238" spans="1:15" x14ac:dyDescent="0.35">
      <c r="A238" s="2" t="s">
        <v>241</v>
      </c>
      <c r="B238" s="2" t="s">
        <v>242</v>
      </c>
      <c r="C238" s="2" t="s">
        <v>18</v>
      </c>
      <c r="D238" s="2" t="s">
        <v>131</v>
      </c>
      <c r="E238" s="2" t="s">
        <v>17</v>
      </c>
      <c r="F238" s="2">
        <v>51</v>
      </c>
      <c r="G238" s="2">
        <v>52</v>
      </c>
      <c r="H238" s="2">
        <v>54</v>
      </c>
      <c r="I238" s="2">
        <v>65</v>
      </c>
      <c r="J238" s="2">
        <v>47</v>
      </c>
      <c r="K238" s="2">
        <v>64</v>
      </c>
      <c r="L238">
        <f t="shared" si="9"/>
        <v>333</v>
      </c>
      <c r="M238" s="4">
        <f t="shared" si="10"/>
        <v>55.5</v>
      </c>
      <c r="N238" t="str" cm="1">
        <f t="array" ref="N238">_xlfn.IFS(M238&gt;=70,"A",M238&gt;=60,"B",M238&gt;=50,"C",M238&gt;=45,"D",M238&gt;=40,"E",TRUE,"F")</f>
        <v>C</v>
      </c>
      <c r="O238">
        <f t="shared" si="11"/>
        <v>27</v>
      </c>
    </row>
    <row r="239" spans="1:15" x14ac:dyDescent="0.35">
      <c r="A239" s="2" t="s">
        <v>243</v>
      </c>
      <c r="B239" s="2" t="s">
        <v>244</v>
      </c>
      <c r="C239" s="2" t="s">
        <v>18</v>
      </c>
      <c r="D239" s="2" t="s">
        <v>131</v>
      </c>
      <c r="E239" s="2" t="s">
        <v>20</v>
      </c>
      <c r="F239" s="2">
        <v>41</v>
      </c>
      <c r="G239" s="2">
        <v>56</v>
      </c>
      <c r="H239" s="2">
        <v>54</v>
      </c>
      <c r="I239" s="2">
        <v>63</v>
      </c>
      <c r="J239" s="2">
        <v>56</v>
      </c>
      <c r="K239" s="2">
        <v>57</v>
      </c>
      <c r="L239">
        <f t="shared" si="9"/>
        <v>327</v>
      </c>
      <c r="M239" s="4">
        <f t="shared" si="10"/>
        <v>54.5</v>
      </c>
      <c r="N239" t="str" cm="1">
        <f t="array" ref="N239">_xlfn.IFS(M239&gt;=70,"A",M239&gt;=60,"B",M239&gt;=50,"C",M239&gt;=45,"D",M239&gt;=40,"E",TRUE,"F")</f>
        <v>C</v>
      </c>
      <c r="O239">
        <f t="shared" si="11"/>
        <v>34</v>
      </c>
    </row>
    <row r="240" spans="1:15" x14ac:dyDescent="0.35">
      <c r="A240" s="2" t="s">
        <v>243</v>
      </c>
      <c r="B240" s="2" t="s">
        <v>244</v>
      </c>
      <c r="C240" s="2" t="s">
        <v>18</v>
      </c>
      <c r="D240" s="2" t="s">
        <v>131</v>
      </c>
      <c r="E240" s="2" t="s">
        <v>15</v>
      </c>
      <c r="F240" s="2">
        <v>48</v>
      </c>
      <c r="G240" s="2">
        <v>54</v>
      </c>
      <c r="H240" s="2">
        <v>51</v>
      </c>
      <c r="I240" s="2">
        <v>63</v>
      </c>
      <c r="J240" s="2">
        <v>67</v>
      </c>
      <c r="K240" s="2">
        <v>55</v>
      </c>
      <c r="L240">
        <f t="shared" si="9"/>
        <v>338</v>
      </c>
      <c r="M240" s="4">
        <f t="shared" si="10"/>
        <v>56.333333333333336</v>
      </c>
      <c r="N240" t="str" cm="1">
        <f t="array" ref="N240">_xlfn.IFS(M240&gt;=70,"A",M240&gt;=60,"B",M240&gt;=50,"C",M240&gt;=45,"D",M240&gt;=40,"E",TRUE,"F")</f>
        <v>C</v>
      </c>
      <c r="O240">
        <f t="shared" si="11"/>
        <v>26</v>
      </c>
    </row>
    <row r="241" spans="1:15" x14ac:dyDescent="0.35">
      <c r="A241" s="2" t="s">
        <v>243</v>
      </c>
      <c r="B241" s="2" t="s">
        <v>244</v>
      </c>
      <c r="C241" s="2" t="s">
        <v>18</v>
      </c>
      <c r="D241" s="2" t="s">
        <v>131</v>
      </c>
      <c r="E241" s="2" t="s">
        <v>17</v>
      </c>
      <c r="F241" s="2">
        <v>43</v>
      </c>
      <c r="G241" s="2">
        <v>47</v>
      </c>
      <c r="H241" s="2">
        <v>61</v>
      </c>
      <c r="I241" s="2">
        <v>55</v>
      </c>
      <c r="J241" s="2">
        <v>59</v>
      </c>
      <c r="K241" s="2">
        <v>59</v>
      </c>
      <c r="L241">
        <f t="shared" si="9"/>
        <v>324</v>
      </c>
      <c r="M241" s="4">
        <f t="shared" si="10"/>
        <v>54</v>
      </c>
      <c r="N241" t="str" cm="1">
        <f t="array" ref="N241">_xlfn.IFS(M241&gt;=70,"A",M241&gt;=60,"B",M241&gt;=50,"C",M241&gt;=45,"D",M241&gt;=40,"E",TRUE,"F")</f>
        <v>C</v>
      </c>
      <c r="O241">
        <f t="shared" si="11"/>
        <v>30</v>
      </c>
    </row>
    <row r="242" spans="1:15" x14ac:dyDescent="0.35">
      <c r="A242" s="2" t="s">
        <v>245</v>
      </c>
      <c r="B242" s="2" t="s">
        <v>248</v>
      </c>
      <c r="C242" s="2" t="s">
        <v>23</v>
      </c>
      <c r="D242" s="2" t="s">
        <v>247</v>
      </c>
      <c r="E242" s="2" t="s">
        <v>15</v>
      </c>
      <c r="F242" s="2">
        <v>42</v>
      </c>
      <c r="G242" s="2">
        <v>63</v>
      </c>
      <c r="H242" s="2">
        <v>57</v>
      </c>
      <c r="I242" s="2">
        <v>55</v>
      </c>
      <c r="J242" s="2">
        <v>61</v>
      </c>
      <c r="K242" s="2">
        <v>54</v>
      </c>
      <c r="L242">
        <f t="shared" si="9"/>
        <v>332</v>
      </c>
      <c r="M242" s="4">
        <f t="shared" si="10"/>
        <v>55.333333333333336</v>
      </c>
      <c r="N242" t="str" cm="1">
        <f t="array" ref="N242">_xlfn.IFS(M242&gt;=70,"A",M242&gt;=60,"B",M242&gt;=50,"C",M242&gt;=45,"D",M242&gt;=40,"E",TRUE,"F")</f>
        <v>C</v>
      </c>
      <c r="O242">
        <f t="shared" si="11"/>
        <v>27</v>
      </c>
    </row>
    <row r="243" spans="1:15" x14ac:dyDescent="0.35">
      <c r="A243" s="2" t="s">
        <v>245</v>
      </c>
      <c r="B243" s="2" t="s">
        <v>248</v>
      </c>
      <c r="C243" s="2" t="s">
        <v>23</v>
      </c>
      <c r="D243" s="2" t="s">
        <v>247</v>
      </c>
      <c r="E243" s="2" t="s">
        <v>17</v>
      </c>
      <c r="F243" s="2">
        <v>59</v>
      </c>
      <c r="G243" s="2">
        <v>47</v>
      </c>
      <c r="H243" s="2">
        <v>46</v>
      </c>
      <c r="I243" s="2">
        <v>51</v>
      </c>
      <c r="J243" s="2">
        <v>67</v>
      </c>
      <c r="K243" s="2">
        <v>58</v>
      </c>
      <c r="L243">
        <f t="shared" si="9"/>
        <v>328</v>
      </c>
      <c r="M243" s="4">
        <f t="shared" si="10"/>
        <v>54.666666666666664</v>
      </c>
      <c r="N243" t="str" cm="1">
        <f t="array" ref="N243">_xlfn.IFS(M243&gt;=70,"A",M243&gt;=60,"B",M243&gt;=50,"C",M243&gt;=45,"D",M243&gt;=40,"E",TRUE,"F")</f>
        <v>C</v>
      </c>
      <c r="O243">
        <f t="shared" si="11"/>
        <v>27</v>
      </c>
    </row>
    <row r="244" spans="1:15" x14ac:dyDescent="0.35">
      <c r="A244" s="2" t="s">
        <v>245</v>
      </c>
      <c r="B244" s="2" t="s">
        <v>248</v>
      </c>
      <c r="C244" s="2" t="s">
        <v>23</v>
      </c>
      <c r="D244" s="2" t="s">
        <v>247</v>
      </c>
      <c r="E244" s="2" t="s">
        <v>20</v>
      </c>
      <c r="F244" s="2">
        <v>51</v>
      </c>
      <c r="G244" s="2">
        <v>49</v>
      </c>
      <c r="H244" s="2">
        <v>39</v>
      </c>
      <c r="I244" s="2">
        <v>58</v>
      </c>
      <c r="J244" s="2">
        <v>49</v>
      </c>
      <c r="K244" s="2">
        <v>46</v>
      </c>
      <c r="L244">
        <f t="shared" si="9"/>
        <v>292</v>
      </c>
      <c r="M244" s="4">
        <f t="shared" si="10"/>
        <v>48.666666666666664</v>
      </c>
      <c r="N244" t="str" cm="1">
        <f t="array" ref="N244">_xlfn.IFS(M244&gt;=70,"A",M244&gt;=60,"B",M244&gt;=50,"C",M244&gt;=45,"D",M244&gt;=40,"E",TRUE,"F")</f>
        <v>D</v>
      </c>
      <c r="O244">
        <f t="shared" si="11"/>
        <v>36</v>
      </c>
    </row>
    <row r="245" spans="1:15" x14ac:dyDescent="0.35">
      <c r="A245" s="2" t="s">
        <v>249</v>
      </c>
      <c r="B245" s="2" t="s">
        <v>250</v>
      </c>
      <c r="C245" s="2" t="s">
        <v>18</v>
      </c>
      <c r="D245" s="2" t="s">
        <v>247</v>
      </c>
      <c r="E245" s="2" t="s">
        <v>15</v>
      </c>
      <c r="F245" s="2">
        <v>53</v>
      </c>
      <c r="G245" s="2">
        <v>66</v>
      </c>
      <c r="H245" s="2">
        <v>72</v>
      </c>
      <c r="I245" s="2">
        <v>55</v>
      </c>
      <c r="J245" s="2">
        <v>50</v>
      </c>
      <c r="K245" s="2">
        <v>74</v>
      </c>
      <c r="L245">
        <f t="shared" si="9"/>
        <v>370</v>
      </c>
      <c r="M245" s="4">
        <f t="shared" si="10"/>
        <v>61.666666666666664</v>
      </c>
      <c r="N245" t="str" cm="1">
        <f t="array" ref="N245">_xlfn.IFS(M245&gt;=70,"A",M245&gt;=60,"B",M245&gt;=50,"C",M245&gt;=45,"D",M245&gt;=40,"E",TRUE,"F")</f>
        <v>B</v>
      </c>
      <c r="O245">
        <f t="shared" si="11"/>
        <v>21</v>
      </c>
    </row>
    <row r="246" spans="1:15" x14ac:dyDescent="0.35">
      <c r="A246" s="2" t="s">
        <v>249</v>
      </c>
      <c r="B246" s="2" t="s">
        <v>250</v>
      </c>
      <c r="C246" s="2" t="s">
        <v>18</v>
      </c>
      <c r="D246" s="2" t="s">
        <v>247</v>
      </c>
      <c r="E246" s="2" t="s">
        <v>17</v>
      </c>
      <c r="F246" s="2">
        <v>59</v>
      </c>
      <c r="G246" s="2">
        <v>59</v>
      </c>
      <c r="H246" s="2">
        <v>63</v>
      </c>
      <c r="I246" s="2">
        <v>71</v>
      </c>
      <c r="J246" s="2">
        <v>80</v>
      </c>
      <c r="K246" s="2">
        <v>68</v>
      </c>
      <c r="L246">
        <f t="shared" si="9"/>
        <v>400</v>
      </c>
      <c r="M246" s="4">
        <f t="shared" si="10"/>
        <v>66.666666666666671</v>
      </c>
      <c r="N246" t="str" cm="1">
        <f t="array" ref="N246">_xlfn.IFS(M246&gt;=70,"A",M246&gt;=60,"B",M246&gt;=50,"C",M246&gt;=45,"D",M246&gt;=40,"E",TRUE,"F")</f>
        <v>B</v>
      </c>
      <c r="O246">
        <f t="shared" si="11"/>
        <v>18</v>
      </c>
    </row>
    <row r="247" spans="1:15" x14ac:dyDescent="0.35">
      <c r="A247" s="2" t="s">
        <v>249</v>
      </c>
      <c r="B247" s="2" t="s">
        <v>250</v>
      </c>
      <c r="C247" s="2" t="s">
        <v>18</v>
      </c>
      <c r="D247" s="2" t="s">
        <v>247</v>
      </c>
      <c r="E247" s="2" t="s">
        <v>20</v>
      </c>
      <c r="F247" s="2">
        <v>66</v>
      </c>
      <c r="G247" s="2">
        <v>60</v>
      </c>
      <c r="H247" s="2">
        <v>58</v>
      </c>
      <c r="I247" s="2">
        <v>69</v>
      </c>
      <c r="J247" s="2">
        <v>60</v>
      </c>
      <c r="K247" s="2">
        <v>60</v>
      </c>
      <c r="L247">
        <f t="shared" si="9"/>
        <v>373</v>
      </c>
      <c r="M247" s="4">
        <f t="shared" si="10"/>
        <v>62.166666666666664</v>
      </c>
      <c r="N247" t="str" cm="1">
        <f t="array" ref="N247">_xlfn.IFS(M247&gt;=70,"A",M247&gt;=60,"B",M247&gt;=50,"C",M247&gt;=45,"D",M247&gt;=40,"E",TRUE,"F")</f>
        <v>B</v>
      </c>
      <c r="O247">
        <f t="shared" si="11"/>
        <v>27</v>
      </c>
    </row>
    <row r="248" spans="1:15" x14ac:dyDescent="0.35">
      <c r="A248" s="2" t="s">
        <v>251</v>
      </c>
      <c r="B248" s="2" t="s">
        <v>252</v>
      </c>
      <c r="C248" s="2" t="s">
        <v>23</v>
      </c>
      <c r="D248" s="2" t="s">
        <v>247</v>
      </c>
      <c r="E248" s="2" t="s">
        <v>15</v>
      </c>
      <c r="F248" s="2">
        <v>65</v>
      </c>
      <c r="G248" s="2">
        <v>51</v>
      </c>
      <c r="H248" s="2">
        <v>63</v>
      </c>
      <c r="I248" s="2">
        <v>65</v>
      </c>
      <c r="J248" s="2">
        <v>66</v>
      </c>
      <c r="K248" s="2">
        <v>61</v>
      </c>
      <c r="L248">
        <f t="shared" si="9"/>
        <v>371</v>
      </c>
      <c r="M248" s="4">
        <f t="shared" si="10"/>
        <v>61.833333333333336</v>
      </c>
      <c r="N248" t="str" cm="1">
        <f t="array" ref="N248">_xlfn.IFS(M248&gt;=70,"A",M248&gt;=60,"B",M248&gt;=50,"C",M248&gt;=45,"D",M248&gt;=40,"E",TRUE,"F")</f>
        <v>B</v>
      </c>
      <c r="O248">
        <f t="shared" si="11"/>
        <v>20</v>
      </c>
    </row>
    <row r="249" spans="1:15" x14ac:dyDescent="0.35">
      <c r="A249" s="2" t="s">
        <v>251</v>
      </c>
      <c r="B249" s="2" t="s">
        <v>252</v>
      </c>
      <c r="C249" s="2" t="s">
        <v>23</v>
      </c>
      <c r="D249" s="2" t="s">
        <v>247</v>
      </c>
      <c r="E249" s="2" t="s">
        <v>17</v>
      </c>
      <c r="F249" s="2">
        <v>46</v>
      </c>
      <c r="G249" s="2">
        <v>61</v>
      </c>
      <c r="H249" s="2">
        <v>56</v>
      </c>
      <c r="I249" s="2">
        <v>66</v>
      </c>
      <c r="J249" s="2">
        <v>70</v>
      </c>
      <c r="K249" s="2">
        <v>67</v>
      </c>
      <c r="L249">
        <f t="shared" si="9"/>
        <v>366</v>
      </c>
      <c r="M249" s="4">
        <f t="shared" si="10"/>
        <v>61</v>
      </c>
      <c r="N249" t="str" cm="1">
        <f t="array" ref="N249">_xlfn.IFS(M249&gt;=70,"A",M249&gt;=60,"B",M249&gt;=50,"C",M249&gt;=45,"D",M249&gt;=40,"E",TRUE,"F")</f>
        <v>B</v>
      </c>
      <c r="O249">
        <f t="shared" si="11"/>
        <v>22</v>
      </c>
    </row>
    <row r="250" spans="1:15" x14ac:dyDescent="0.35">
      <c r="A250" s="2" t="s">
        <v>251</v>
      </c>
      <c r="B250" s="2" t="s">
        <v>252</v>
      </c>
      <c r="C250" s="2" t="s">
        <v>23</v>
      </c>
      <c r="D250" s="2" t="s">
        <v>247</v>
      </c>
      <c r="E250" s="2" t="s">
        <v>20</v>
      </c>
      <c r="F250" s="2">
        <v>54</v>
      </c>
      <c r="G250" s="2">
        <v>69</v>
      </c>
      <c r="H250" s="2">
        <v>60</v>
      </c>
      <c r="I250" s="2">
        <v>64</v>
      </c>
      <c r="J250" s="2">
        <v>69</v>
      </c>
      <c r="K250" s="2">
        <v>75</v>
      </c>
      <c r="L250">
        <f t="shared" si="9"/>
        <v>391</v>
      </c>
      <c r="M250" s="4">
        <f t="shared" si="10"/>
        <v>65.166666666666671</v>
      </c>
      <c r="N250" t="str" cm="1">
        <f t="array" ref="N250">_xlfn.IFS(M250&gt;=70,"A",M250&gt;=60,"B",M250&gt;=50,"C",M250&gt;=45,"D",M250&gt;=40,"E",TRUE,"F")</f>
        <v>B</v>
      </c>
      <c r="O250">
        <f t="shared" si="11"/>
        <v>22</v>
      </c>
    </row>
    <row r="251" spans="1:15" x14ac:dyDescent="0.35">
      <c r="A251" s="2" t="s">
        <v>254</v>
      </c>
      <c r="B251" s="2" t="s">
        <v>255</v>
      </c>
      <c r="C251" s="2" t="s">
        <v>23</v>
      </c>
      <c r="D251" s="2" t="s">
        <v>247</v>
      </c>
      <c r="E251" s="2" t="s">
        <v>15</v>
      </c>
      <c r="F251" s="2">
        <v>79</v>
      </c>
      <c r="G251" s="2">
        <v>82</v>
      </c>
      <c r="H251" s="2">
        <v>59</v>
      </c>
      <c r="I251" s="2">
        <v>64</v>
      </c>
      <c r="J251" s="2">
        <v>75</v>
      </c>
      <c r="K251" s="2">
        <v>80</v>
      </c>
      <c r="L251">
        <f t="shared" si="9"/>
        <v>439</v>
      </c>
      <c r="M251" s="4">
        <f t="shared" si="10"/>
        <v>73.166666666666671</v>
      </c>
      <c r="N251" t="str" cm="1">
        <f t="array" ref="N251">_xlfn.IFS(M251&gt;=70,"A",M251&gt;=60,"B",M251&gt;=50,"C",M251&gt;=45,"D",M251&gt;=40,"E",TRUE,"F")</f>
        <v>A</v>
      </c>
      <c r="O251">
        <f t="shared" si="11"/>
        <v>8</v>
      </c>
    </row>
    <row r="252" spans="1:15" x14ac:dyDescent="0.35">
      <c r="A252" s="2" t="s">
        <v>254</v>
      </c>
      <c r="B252" s="2" t="s">
        <v>255</v>
      </c>
      <c r="C252" s="2" t="s">
        <v>23</v>
      </c>
      <c r="D252" s="2" t="s">
        <v>247</v>
      </c>
      <c r="E252" s="2" t="s">
        <v>17</v>
      </c>
      <c r="F252" s="2">
        <v>66</v>
      </c>
      <c r="G252" s="2">
        <v>88</v>
      </c>
      <c r="H252" s="2"/>
      <c r="I252" s="2">
        <v>88</v>
      </c>
      <c r="J252" s="2">
        <v>74</v>
      </c>
      <c r="K252" s="2">
        <v>73</v>
      </c>
      <c r="L252">
        <f t="shared" si="9"/>
        <v>389</v>
      </c>
      <c r="M252" s="4">
        <f t="shared" si="10"/>
        <v>77.8</v>
      </c>
      <c r="N252" t="str" cm="1">
        <f t="array" ref="N252">_xlfn.IFS(M252&gt;=70,"A",M252&gt;=60,"B",M252&gt;=50,"C",M252&gt;=45,"D",M252&gt;=40,"E",TRUE,"F")</f>
        <v>A</v>
      </c>
      <c r="O252">
        <f t="shared" si="11"/>
        <v>8</v>
      </c>
    </row>
    <row r="253" spans="1:15" x14ac:dyDescent="0.35">
      <c r="A253" s="2" t="s">
        <v>254</v>
      </c>
      <c r="B253" s="2" t="s">
        <v>255</v>
      </c>
      <c r="C253" s="2" t="s">
        <v>23</v>
      </c>
      <c r="D253" s="2" t="s">
        <v>247</v>
      </c>
      <c r="E253" s="2" t="s">
        <v>20</v>
      </c>
      <c r="F253" s="2">
        <v>62</v>
      </c>
      <c r="G253" s="2">
        <v>75</v>
      </c>
      <c r="H253" s="2">
        <v>65</v>
      </c>
      <c r="I253" s="2">
        <v>74</v>
      </c>
      <c r="J253" s="2">
        <v>77</v>
      </c>
      <c r="K253" s="2">
        <v>88</v>
      </c>
      <c r="L253">
        <f t="shared" si="9"/>
        <v>441</v>
      </c>
      <c r="M253" s="4">
        <f t="shared" si="10"/>
        <v>73.5</v>
      </c>
      <c r="N253" t="str" cm="1">
        <f t="array" ref="N253">_xlfn.IFS(M253&gt;=70,"A",M253&gt;=60,"B",M253&gt;=50,"C",M253&gt;=45,"D",M253&gt;=40,"E",TRUE,"F")</f>
        <v>A</v>
      </c>
      <c r="O253">
        <f t="shared" si="11"/>
        <v>14</v>
      </c>
    </row>
    <row r="254" spans="1:15" x14ac:dyDescent="0.35">
      <c r="A254" s="2" t="s">
        <v>257</v>
      </c>
      <c r="B254" s="2" t="s">
        <v>258</v>
      </c>
      <c r="C254" s="2" t="s">
        <v>18</v>
      </c>
      <c r="D254" s="2" t="s">
        <v>247</v>
      </c>
      <c r="E254" s="2" t="s">
        <v>15</v>
      </c>
      <c r="F254" s="2">
        <v>75</v>
      </c>
      <c r="G254" s="2">
        <v>75</v>
      </c>
      <c r="H254" s="2">
        <v>80</v>
      </c>
      <c r="I254" s="2">
        <v>89</v>
      </c>
      <c r="J254" s="2">
        <v>93</v>
      </c>
      <c r="K254" s="2">
        <v>84</v>
      </c>
      <c r="L254">
        <f t="shared" si="9"/>
        <v>496</v>
      </c>
      <c r="M254" s="4">
        <f t="shared" si="10"/>
        <v>82.666666666666671</v>
      </c>
      <c r="N254" t="str" cm="1">
        <f t="array" ref="N254">_xlfn.IFS(M254&gt;=70,"A",M254&gt;=60,"B",M254&gt;=50,"C",M254&gt;=45,"D",M254&gt;=40,"E",TRUE,"F")</f>
        <v>A</v>
      </c>
      <c r="O254">
        <f t="shared" si="11"/>
        <v>3</v>
      </c>
    </row>
    <row r="255" spans="1:15" x14ac:dyDescent="0.35">
      <c r="A255" s="2" t="s">
        <v>257</v>
      </c>
      <c r="B255" s="2" t="s">
        <v>258</v>
      </c>
      <c r="C255" s="2" t="s">
        <v>18</v>
      </c>
      <c r="D255" s="2" t="s">
        <v>247</v>
      </c>
      <c r="E255" s="2" t="s">
        <v>17</v>
      </c>
      <c r="F255" s="2">
        <v>79</v>
      </c>
      <c r="G255" s="2">
        <v>90</v>
      </c>
      <c r="H255" s="2">
        <v>82</v>
      </c>
      <c r="I255" s="2">
        <v>85</v>
      </c>
      <c r="J255" s="2">
        <v>81</v>
      </c>
      <c r="K255" s="2">
        <v>82</v>
      </c>
      <c r="L255">
        <f t="shared" si="9"/>
        <v>499</v>
      </c>
      <c r="M255" s="4">
        <f t="shared" si="10"/>
        <v>83.166666666666671</v>
      </c>
      <c r="N255" t="str" cm="1">
        <f t="array" ref="N255">_xlfn.IFS(M255&gt;=70,"A",M255&gt;=60,"B",M255&gt;=50,"C",M255&gt;=45,"D",M255&gt;=40,"E",TRUE,"F")</f>
        <v>A</v>
      </c>
      <c r="O255">
        <f t="shared" si="11"/>
        <v>4</v>
      </c>
    </row>
    <row r="256" spans="1:15" x14ac:dyDescent="0.35">
      <c r="A256" s="2" t="s">
        <v>257</v>
      </c>
      <c r="B256" s="2" t="s">
        <v>258</v>
      </c>
      <c r="C256" s="2" t="s">
        <v>18</v>
      </c>
      <c r="D256" s="2" t="s">
        <v>247</v>
      </c>
      <c r="E256" s="2" t="s">
        <v>20</v>
      </c>
      <c r="F256" s="2">
        <v>55</v>
      </c>
      <c r="G256" s="2">
        <v>80</v>
      </c>
      <c r="H256" s="2">
        <v>71</v>
      </c>
      <c r="I256" s="2">
        <v>80</v>
      </c>
      <c r="J256" s="2">
        <v>83</v>
      </c>
      <c r="K256" s="2">
        <v>76</v>
      </c>
      <c r="L256">
        <f t="shared" si="9"/>
        <v>445</v>
      </c>
      <c r="M256" s="4">
        <f t="shared" si="10"/>
        <v>74.166666666666671</v>
      </c>
      <c r="N256" t="str" cm="1">
        <f t="array" ref="N256">_xlfn.IFS(M256&gt;=70,"A",M256&gt;=60,"B",M256&gt;=50,"C",M256&gt;=45,"D",M256&gt;=40,"E",TRUE,"F")</f>
        <v>A</v>
      </c>
      <c r="O256">
        <f t="shared" si="11"/>
        <v>12</v>
      </c>
    </row>
    <row r="257" spans="1:15" x14ac:dyDescent="0.35">
      <c r="A257" s="2" t="s">
        <v>260</v>
      </c>
      <c r="B257" s="2" t="s">
        <v>261</v>
      </c>
      <c r="C257" s="2" t="s">
        <v>18</v>
      </c>
      <c r="D257" s="2" t="s">
        <v>247</v>
      </c>
      <c r="E257" s="2" t="s">
        <v>15</v>
      </c>
      <c r="F257" s="2">
        <v>52</v>
      </c>
      <c r="G257" s="2">
        <v>52</v>
      </c>
      <c r="H257" s="2">
        <v>59</v>
      </c>
      <c r="I257" s="2">
        <v>55</v>
      </c>
      <c r="J257" s="2">
        <v>57</v>
      </c>
      <c r="K257" s="2">
        <v>55</v>
      </c>
      <c r="L257">
        <f t="shared" si="9"/>
        <v>330</v>
      </c>
      <c r="M257" s="4">
        <f t="shared" si="10"/>
        <v>55</v>
      </c>
      <c r="N257" t="str" cm="1">
        <f t="array" ref="N257">_xlfn.IFS(M257&gt;=70,"A",M257&gt;=60,"B",M257&gt;=50,"C",M257&gt;=45,"D",M257&gt;=40,"E",TRUE,"F")</f>
        <v>C</v>
      </c>
      <c r="O257">
        <f t="shared" si="11"/>
        <v>28</v>
      </c>
    </row>
    <row r="258" spans="1:15" x14ac:dyDescent="0.35">
      <c r="A258" s="2" t="s">
        <v>260</v>
      </c>
      <c r="B258" s="2" t="s">
        <v>261</v>
      </c>
      <c r="C258" s="2" t="s">
        <v>18</v>
      </c>
      <c r="D258" s="2" t="s">
        <v>247</v>
      </c>
      <c r="E258" s="2" t="s">
        <v>17</v>
      </c>
      <c r="F258" s="2">
        <v>60</v>
      </c>
      <c r="G258" s="2">
        <v>41</v>
      </c>
      <c r="H258" s="2">
        <v>50</v>
      </c>
      <c r="I258" s="2">
        <v>57</v>
      </c>
      <c r="J258" s="2">
        <v>49</v>
      </c>
      <c r="K258" s="2">
        <v>56</v>
      </c>
      <c r="L258">
        <f t="shared" ref="L258:L321" si="12">SUM(F258:K258)</f>
        <v>313</v>
      </c>
      <c r="M258" s="4">
        <f t="shared" ref="M258:M321" si="13">AVERAGE(F258:K258)</f>
        <v>52.166666666666664</v>
      </c>
      <c r="N258" t="str" cm="1">
        <f t="array" ref="N258">_xlfn.IFS(M258&gt;=70,"A",M258&gt;=60,"B",M258&gt;=50,"C",M258&gt;=45,"D",M258&gt;=40,"E",TRUE,"F")</f>
        <v>C</v>
      </c>
      <c r="O258">
        <f t="shared" ref="O258:O321" si="14">COUNTIFS($D$2:$D$721,D258,$E$2:$E$721,E258,$M$2:$M$721,"&gt;"&amp;M258)+1</f>
        <v>34</v>
      </c>
    </row>
    <row r="259" spans="1:15" x14ac:dyDescent="0.35">
      <c r="A259" s="2" t="s">
        <v>260</v>
      </c>
      <c r="B259" s="2" t="s">
        <v>261</v>
      </c>
      <c r="C259" s="2" t="s">
        <v>18</v>
      </c>
      <c r="D259" s="2" t="s">
        <v>247</v>
      </c>
      <c r="E259" s="2" t="s">
        <v>20</v>
      </c>
      <c r="F259" s="2">
        <v>40</v>
      </c>
      <c r="G259" s="2">
        <v>62</v>
      </c>
      <c r="H259" s="2">
        <v>49</v>
      </c>
      <c r="I259" s="2">
        <v>67</v>
      </c>
      <c r="J259" s="2">
        <v>63</v>
      </c>
      <c r="K259" s="2">
        <v>61</v>
      </c>
      <c r="L259">
        <f t="shared" si="12"/>
        <v>342</v>
      </c>
      <c r="M259" s="4">
        <f t="shared" si="13"/>
        <v>57</v>
      </c>
      <c r="N259" t="str" cm="1">
        <f t="array" ref="N259">_xlfn.IFS(M259&gt;=70,"A",M259&gt;=60,"B",M259&gt;=50,"C",M259&gt;=45,"D",M259&gt;=40,"E",TRUE,"F")</f>
        <v>C</v>
      </c>
      <c r="O259">
        <f t="shared" si="14"/>
        <v>28</v>
      </c>
    </row>
    <row r="260" spans="1:15" x14ac:dyDescent="0.35">
      <c r="A260" s="2" t="s">
        <v>265</v>
      </c>
      <c r="B260" s="2" t="s">
        <v>266</v>
      </c>
      <c r="C260" s="2" t="s">
        <v>18</v>
      </c>
      <c r="D260" s="2" t="s">
        <v>247</v>
      </c>
      <c r="E260" s="2" t="s">
        <v>20</v>
      </c>
      <c r="F260" s="2">
        <v>82</v>
      </c>
      <c r="G260" s="2">
        <v>97</v>
      </c>
      <c r="H260" s="2">
        <v>83</v>
      </c>
      <c r="I260" s="2">
        <v>98</v>
      </c>
      <c r="J260" s="2">
        <v>85</v>
      </c>
      <c r="K260" s="2">
        <v>97</v>
      </c>
      <c r="L260">
        <f t="shared" si="12"/>
        <v>542</v>
      </c>
      <c r="M260" s="4">
        <f t="shared" si="13"/>
        <v>90.333333333333329</v>
      </c>
      <c r="N260" t="str" cm="1">
        <f t="array" ref="N260">_xlfn.IFS(M260&gt;=70,"A",M260&gt;=60,"B",M260&gt;=50,"C",M260&gt;=45,"D",M260&gt;=40,"E",TRUE,"F")</f>
        <v>A</v>
      </c>
      <c r="O260">
        <f t="shared" si="14"/>
        <v>2</v>
      </c>
    </row>
    <row r="261" spans="1:15" x14ac:dyDescent="0.35">
      <c r="A261" s="2" t="s">
        <v>265</v>
      </c>
      <c r="B261" s="2" t="s">
        <v>266</v>
      </c>
      <c r="C261" s="2" t="s">
        <v>18</v>
      </c>
      <c r="D261" s="2" t="s">
        <v>247</v>
      </c>
      <c r="E261" s="2" t="s">
        <v>15</v>
      </c>
      <c r="F261" s="2">
        <v>72</v>
      </c>
      <c r="G261" s="2">
        <v>84</v>
      </c>
      <c r="H261" s="2">
        <v>89</v>
      </c>
      <c r="I261" s="2">
        <v>91</v>
      </c>
      <c r="J261" s="2">
        <v>98</v>
      </c>
      <c r="K261" s="2">
        <v>89</v>
      </c>
      <c r="L261">
        <f t="shared" si="12"/>
        <v>523</v>
      </c>
      <c r="M261" s="4">
        <f t="shared" si="13"/>
        <v>87.166666666666671</v>
      </c>
      <c r="N261" t="str" cm="1">
        <f t="array" ref="N261">_xlfn.IFS(M261&gt;=70,"A",M261&gt;=60,"B",M261&gt;=50,"C",M261&gt;=45,"D",M261&gt;=40,"E",TRUE,"F")</f>
        <v>A</v>
      </c>
      <c r="O261">
        <f t="shared" si="14"/>
        <v>1</v>
      </c>
    </row>
    <row r="262" spans="1:15" x14ac:dyDescent="0.35">
      <c r="A262" s="2" t="s">
        <v>265</v>
      </c>
      <c r="B262" s="2" t="s">
        <v>266</v>
      </c>
      <c r="C262" s="2" t="s">
        <v>18</v>
      </c>
      <c r="D262" s="2" t="s">
        <v>247</v>
      </c>
      <c r="E262" s="2" t="s">
        <v>17</v>
      </c>
      <c r="F262" s="2">
        <v>95</v>
      </c>
      <c r="G262" s="2">
        <v>88</v>
      </c>
      <c r="H262" s="2">
        <v>82</v>
      </c>
      <c r="I262" s="2">
        <v>98</v>
      </c>
      <c r="J262" s="2">
        <v>98</v>
      </c>
      <c r="K262" s="2">
        <v>95</v>
      </c>
      <c r="L262">
        <f t="shared" si="12"/>
        <v>556</v>
      </c>
      <c r="M262" s="4">
        <f t="shared" si="13"/>
        <v>92.666666666666671</v>
      </c>
      <c r="N262" t="str" cm="1">
        <f t="array" ref="N262">_xlfn.IFS(M262&gt;=70,"A",M262&gt;=60,"B",M262&gt;=50,"C",M262&gt;=45,"D",M262&gt;=40,"E",TRUE,"F")</f>
        <v>A</v>
      </c>
      <c r="O262">
        <f t="shared" si="14"/>
        <v>1</v>
      </c>
    </row>
    <row r="263" spans="1:15" x14ac:dyDescent="0.35">
      <c r="A263" s="2" t="s">
        <v>267</v>
      </c>
      <c r="B263" s="2" t="s">
        <v>268</v>
      </c>
      <c r="C263" s="2" t="s">
        <v>23</v>
      </c>
      <c r="D263" s="2" t="s">
        <v>247</v>
      </c>
      <c r="E263" s="2" t="s">
        <v>15</v>
      </c>
      <c r="F263" s="2">
        <v>53</v>
      </c>
      <c r="G263" s="2">
        <v>67</v>
      </c>
      <c r="H263" s="2">
        <v>44</v>
      </c>
      <c r="I263" s="2">
        <v>64</v>
      </c>
      <c r="J263" s="2">
        <v>62</v>
      </c>
      <c r="K263" s="2">
        <v>65</v>
      </c>
      <c r="L263">
        <f t="shared" si="12"/>
        <v>355</v>
      </c>
      <c r="M263" s="4">
        <f t="shared" si="13"/>
        <v>59.166666666666664</v>
      </c>
      <c r="N263" t="str" cm="1">
        <f t="array" ref="N263">_xlfn.IFS(M263&gt;=70,"A",M263&gt;=60,"B",M263&gt;=50,"C",M263&gt;=45,"D",M263&gt;=40,"E",TRUE,"F")</f>
        <v>C</v>
      </c>
      <c r="O263">
        <f t="shared" si="14"/>
        <v>24</v>
      </c>
    </row>
    <row r="264" spans="1:15" x14ac:dyDescent="0.35">
      <c r="A264" s="2" t="s">
        <v>267</v>
      </c>
      <c r="B264" s="2" t="s">
        <v>268</v>
      </c>
      <c r="C264" s="2" t="s">
        <v>23</v>
      </c>
      <c r="D264" s="2" t="s">
        <v>247</v>
      </c>
      <c r="E264" s="2" t="s">
        <v>17</v>
      </c>
      <c r="F264" s="2">
        <v>48</v>
      </c>
      <c r="G264" s="2">
        <v>51</v>
      </c>
      <c r="H264" s="2">
        <v>55</v>
      </c>
      <c r="I264" s="2">
        <v>62</v>
      </c>
      <c r="J264" s="2">
        <v>75</v>
      </c>
      <c r="K264" s="2">
        <v>67</v>
      </c>
      <c r="L264">
        <f t="shared" si="12"/>
        <v>358</v>
      </c>
      <c r="M264" s="4">
        <f t="shared" si="13"/>
        <v>59.666666666666664</v>
      </c>
      <c r="N264" t="str" cm="1">
        <f t="array" ref="N264">_xlfn.IFS(M264&gt;=70,"A",M264&gt;=60,"B",M264&gt;=50,"C",M264&gt;=45,"D",M264&gt;=40,"E",TRUE,"F")</f>
        <v>C</v>
      </c>
      <c r="O264">
        <f t="shared" si="14"/>
        <v>25</v>
      </c>
    </row>
    <row r="265" spans="1:15" x14ac:dyDescent="0.35">
      <c r="A265" s="2" t="s">
        <v>267</v>
      </c>
      <c r="B265" s="2" t="s">
        <v>268</v>
      </c>
      <c r="C265" s="2" t="s">
        <v>23</v>
      </c>
      <c r="D265" s="2" t="s">
        <v>247</v>
      </c>
      <c r="E265" s="2" t="s">
        <v>20</v>
      </c>
      <c r="F265" s="2">
        <v>55</v>
      </c>
      <c r="G265" s="2">
        <v>66</v>
      </c>
      <c r="H265" s="2">
        <v>48</v>
      </c>
      <c r="I265" s="2">
        <v>69</v>
      </c>
      <c r="J265" s="2">
        <v>72</v>
      </c>
      <c r="K265" s="2">
        <v>74</v>
      </c>
      <c r="L265">
        <f t="shared" si="12"/>
        <v>384</v>
      </c>
      <c r="M265" s="4">
        <f t="shared" si="13"/>
        <v>64</v>
      </c>
      <c r="N265" t="str" cm="1">
        <f t="array" ref="N265">_xlfn.IFS(M265&gt;=70,"A",M265&gt;=60,"B",M265&gt;=50,"C",M265&gt;=45,"D",M265&gt;=40,"E",TRUE,"F")</f>
        <v>B</v>
      </c>
      <c r="O265">
        <f t="shared" si="14"/>
        <v>24</v>
      </c>
    </row>
    <row r="266" spans="1:15" x14ac:dyDescent="0.35">
      <c r="A266" s="2" t="s">
        <v>271</v>
      </c>
      <c r="B266" s="2" t="s">
        <v>272</v>
      </c>
      <c r="C266" s="2" t="s">
        <v>18</v>
      </c>
      <c r="D266" s="2" t="s">
        <v>247</v>
      </c>
      <c r="E266" s="2" t="s">
        <v>15</v>
      </c>
      <c r="F266" s="2">
        <v>66</v>
      </c>
      <c r="G266" s="2">
        <v>66</v>
      </c>
      <c r="H266" s="2">
        <v>66</v>
      </c>
      <c r="I266" s="2">
        <v>79</v>
      </c>
      <c r="J266" s="2">
        <v>82</v>
      </c>
      <c r="K266" s="2">
        <v>89</v>
      </c>
      <c r="L266">
        <f t="shared" si="12"/>
        <v>448</v>
      </c>
      <c r="M266" s="4">
        <f t="shared" si="13"/>
        <v>74.666666666666671</v>
      </c>
      <c r="N266" t="str" cm="1">
        <f t="array" ref="N266">_xlfn.IFS(M266&gt;=70,"A",M266&gt;=60,"B",M266&gt;=50,"C",M266&gt;=45,"D",M266&gt;=40,"E",TRUE,"F")</f>
        <v>A</v>
      </c>
      <c r="O266">
        <f t="shared" si="14"/>
        <v>4</v>
      </c>
    </row>
    <row r="267" spans="1:15" x14ac:dyDescent="0.35">
      <c r="A267" s="2" t="s">
        <v>271</v>
      </c>
      <c r="B267" s="2" t="s">
        <v>272</v>
      </c>
      <c r="C267" s="2" t="s">
        <v>18</v>
      </c>
      <c r="D267" s="2" t="s">
        <v>247</v>
      </c>
      <c r="E267" s="2" t="s">
        <v>17</v>
      </c>
      <c r="F267" s="2">
        <v>80</v>
      </c>
      <c r="G267" s="2">
        <v>82</v>
      </c>
      <c r="H267" s="2">
        <v>74</v>
      </c>
      <c r="I267" s="2">
        <v>80</v>
      </c>
      <c r="J267" s="2">
        <v>78</v>
      </c>
      <c r="K267" s="2">
        <v>89</v>
      </c>
      <c r="L267">
        <f t="shared" si="12"/>
        <v>483</v>
      </c>
      <c r="M267" s="4">
        <f t="shared" si="13"/>
        <v>80.5</v>
      </c>
      <c r="N267" t="str" cm="1">
        <f t="array" ref="N267">_xlfn.IFS(M267&gt;=70,"A",M267&gt;=60,"B",M267&gt;=50,"C",M267&gt;=45,"D",M267&gt;=40,"E",TRUE,"F")</f>
        <v>A</v>
      </c>
      <c r="O267">
        <f t="shared" si="14"/>
        <v>6</v>
      </c>
    </row>
    <row r="268" spans="1:15" x14ac:dyDescent="0.35">
      <c r="A268" s="2" t="s">
        <v>271</v>
      </c>
      <c r="B268" s="2" t="s">
        <v>272</v>
      </c>
      <c r="C268" s="2" t="s">
        <v>18</v>
      </c>
      <c r="D268" s="2" t="s">
        <v>247</v>
      </c>
      <c r="E268" s="2" t="s">
        <v>20</v>
      </c>
      <c r="F268" s="2">
        <v>75</v>
      </c>
      <c r="G268" s="2">
        <v>78</v>
      </c>
      <c r="H268" s="2">
        <v>66</v>
      </c>
      <c r="I268" s="2">
        <v>87</v>
      </c>
      <c r="J268" s="2">
        <v>70</v>
      </c>
      <c r="K268" s="2">
        <v>91</v>
      </c>
      <c r="L268">
        <f t="shared" si="12"/>
        <v>467</v>
      </c>
      <c r="M268" s="4">
        <f t="shared" si="13"/>
        <v>77.833333333333329</v>
      </c>
      <c r="N268" t="str" cm="1">
        <f t="array" ref="N268">_xlfn.IFS(M268&gt;=70,"A",M268&gt;=60,"B",M268&gt;=50,"C",M268&gt;=45,"D",M268&gt;=40,"E",TRUE,"F")</f>
        <v>A</v>
      </c>
      <c r="O268">
        <f t="shared" si="14"/>
        <v>9</v>
      </c>
    </row>
    <row r="269" spans="1:15" x14ac:dyDescent="0.35">
      <c r="A269" s="2" t="s">
        <v>273</v>
      </c>
      <c r="B269" s="2" t="s">
        <v>274</v>
      </c>
      <c r="C269" s="2" t="s">
        <v>23</v>
      </c>
      <c r="D269" s="2" t="s">
        <v>247</v>
      </c>
      <c r="E269" s="2" t="s">
        <v>15</v>
      </c>
      <c r="F269" s="2">
        <v>68</v>
      </c>
      <c r="G269" s="2">
        <v>56</v>
      </c>
      <c r="H269" s="2">
        <v>64</v>
      </c>
      <c r="I269" s="2">
        <v>61</v>
      </c>
      <c r="J269" s="2">
        <v>70</v>
      </c>
      <c r="K269" s="2">
        <v>77</v>
      </c>
      <c r="L269">
        <f t="shared" si="12"/>
        <v>396</v>
      </c>
      <c r="M269" s="4">
        <f t="shared" si="13"/>
        <v>66</v>
      </c>
      <c r="N269" t="str" cm="1">
        <f t="array" ref="N269">_xlfn.IFS(M269&gt;=70,"A",M269&gt;=60,"B",M269&gt;=50,"C",M269&gt;=45,"D",M269&gt;=40,"E",TRUE,"F")</f>
        <v>B</v>
      </c>
      <c r="O269">
        <f t="shared" si="14"/>
        <v>17</v>
      </c>
    </row>
    <row r="270" spans="1:15" x14ac:dyDescent="0.35">
      <c r="A270" s="2" t="s">
        <v>273</v>
      </c>
      <c r="B270" s="2" t="s">
        <v>274</v>
      </c>
      <c r="C270" s="2" t="s">
        <v>23</v>
      </c>
      <c r="D270" s="2" t="s">
        <v>247</v>
      </c>
      <c r="E270" s="2" t="s">
        <v>17</v>
      </c>
      <c r="F270" s="2">
        <v>61</v>
      </c>
      <c r="G270" s="2">
        <v>58</v>
      </c>
      <c r="H270" s="2">
        <v>67</v>
      </c>
      <c r="I270" s="2">
        <v>72</v>
      </c>
      <c r="J270" s="2">
        <v>71</v>
      </c>
      <c r="K270" s="2">
        <v>66</v>
      </c>
      <c r="L270">
        <f t="shared" si="12"/>
        <v>395</v>
      </c>
      <c r="M270" s="4">
        <f t="shared" si="13"/>
        <v>65.833333333333329</v>
      </c>
      <c r="N270" t="str" cm="1">
        <f t="array" ref="N270">_xlfn.IFS(M270&gt;=70,"A",M270&gt;=60,"B",M270&gt;=50,"C",M270&gt;=45,"D",M270&gt;=40,"E",TRUE,"F")</f>
        <v>B</v>
      </c>
      <c r="O270">
        <f t="shared" si="14"/>
        <v>19</v>
      </c>
    </row>
    <row r="271" spans="1:15" x14ac:dyDescent="0.35">
      <c r="A271" s="2" t="s">
        <v>273</v>
      </c>
      <c r="B271" s="2" t="s">
        <v>274</v>
      </c>
      <c r="C271" s="2" t="s">
        <v>23</v>
      </c>
      <c r="D271" s="2" t="s">
        <v>247</v>
      </c>
      <c r="E271" s="2" t="s">
        <v>20</v>
      </c>
      <c r="F271" s="2">
        <v>60</v>
      </c>
      <c r="G271" s="2">
        <v>70</v>
      </c>
      <c r="H271" s="2">
        <v>65</v>
      </c>
      <c r="I271" s="2">
        <v>86</v>
      </c>
      <c r="J271" s="2">
        <v>74</v>
      </c>
      <c r="K271" s="2">
        <v>73</v>
      </c>
      <c r="L271">
        <f t="shared" si="12"/>
        <v>428</v>
      </c>
      <c r="M271" s="4">
        <f t="shared" si="13"/>
        <v>71.333333333333329</v>
      </c>
      <c r="N271" t="str" cm="1">
        <f t="array" ref="N271">_xlfn.IFS(M271&gt;=70,"A",M271&gt;=60,"B",M271&gt;=50,"C",M271&gt;=45,"D",M271&gt;=40,"E",TRUE,"F")</f>
        <v>A</v>
      </c>
      <c r="O271">
        <f t="shared" si="14"/>
        <v>16</v>
      </c>
    </row>
    <row r="272" spans="1:15" x14ac:dyDescent="0.35">
      <c r="A272" s="2" t="s">
        <v>276</v>
      </c>
      <c r="B272" s="2" t="s">
        <v>277</v>
      </c>
      <c r="C272" s="2" t="s">
        <v>18</v>
      </c>
      <c r="D272" s="2" t="s">
        <v>247</v>
      </c>
      <c r="E272" s="2" t="s">
        <v>15</v>
      </c>
      <c r="F272" s="2">
        <v>41</v>
      </c>
      <c r="G272" s="2">
        <v>35</v>
      </c>
      <c r="H272" s="2">
        <v>44</v>
      </c>
      <c r="I272" s="2">
        <v>58</v>
      </c>
      <c r="J272" s="2">
        <v>41</v>
      </c>
      <c r="K272" s="2">
        <v>51</v>
      </c>
      <c r="L272">
        <f t="shared" si="12"/>
        <v>270</v>
      </c>
      <c r="M272" s="4">
        <f t="shared" si="13"/>
        <v>45</v>
      </c>
      <c r="N272" t="str" cm="1">
        <f t="array" ref="N272">_xlfn.IFS(M272&gt;=70,"A",M272&gt;=60,"B",M272&gt;=50,"C",M272&gt;=45,"D",M272&gt;=40,"E",TRUE,"F")</f>
        <v>D</v>
      </c>
      <c r="O272">
        <f t="shared" si="14"/>
        <v>36</v>
      </c>
    </row>
    <row r="273" spans="1:15" x14ac:dyDescent="0.35">
      <c r="A273" s="2" t="s">
        <v>276</v>
      </c>
      <c r="B273" s="2" t="s">
        <v>277</v>
      </c>
      <c r="C273" s="2" t="s">
        <v>18</v>
      </c>
      <c r="D273" s="2" t="s">
        <v>247</v>
      </c>
      <c r="E273" s="2" t="s">
        <v>17</v>
      </c>
      <c r="F273" s="2">
        <v>46</v>
      </c>
      <c r="G273" s="2">
        <v>34</v>
      </c>
      <c r="H273" s="2">
        <v>56</v>
      </c>
      <c r="I273" s="2">
        <v>42</v>
      </c>
      <c r="J273" s="2">
        <v>48</v>
      </c>
      <c r="K273" s="2">
        <v>55</v>
      </c>
      <c r="L273">
        <f t="shared" si="12"/>
        <v>281</v>
      </c>
      <c r="M273" s="4">
        <f t="shared" si="13"/>
        <v>46.833333333333336</v>
      </c>
      <c r="N273" t="str" cm="1">
        <f t="array" ref="N273">_xlfn.IFS(M273&gt;=70,"A",M273&gt;=60,"B",M273&gt;=50,"C",M273&gt;=45,"D",M273&gt;=40,"E",TRUE,"F")</f>
        <v>D</v>
      </c>
      <c r="O273">
        <f t="shared" si="14"/>
        <v>37</v>
      </c>
    </row>
    <row r="274" spans="1:15" x14ac:dyDescent="0.35">
      <c r="A274" s="2" t="s">
        <v>276</v>
      </c>
      <c r="B274" s="2" t="s">
        <v>277</v>
      </c>
      <c r="C274" s="2" t="s">
        <v>18</v>
      </c>
      <c r="D274" s="2" t="s">
        <v>247</v>
      </c>
      <c r="E274" s="2" t="s">
        <v>20</v>
      </c>
      <c r="F274" s="2">
        <v>42</v>
      </c>
      <c r="G274" s="2">
        <v>55</v>
      </c>
      <c r="H274" s="2">
        <v>48</v>
      </c>
      <c r="I274" s="2">
        <v>56</v>
      </c>
      <c r="J274" s="2">
        <v>54</v>
      </c>
      <c r="K274" s="2">
        <v>66</v>
      </c>
      <c r="L274">
        <f t="shared" si="12"/>
        <v>321</v>
      </c>
      <c r="M274" s="4">
        <f t="shared" si="13"/>
        <v>53.5</v>
      </c>
      <c r="N274" t="str" cm="1">
        <f t="array" ref="N274">_xlfn.IFS(M274&gt;=70,"A",M274&gt;=60,"B",M274&gt;=50,"C",M274&gt;=45,"D",M274&gt;=40,"E",TRUE,"F")</f>
        <v>C</v>
      </c>
      <c r="O274">
        <f t="shared" si="14"/>
        <v>32</v>
      </c>
    </row>
    <row r="275" spans="1:15" x14ac:dyDescent="0.35">
      <c r="A275" s="2" t="s">
        <v>278</v>
      </c>
      <c r="B275" s="2" t="s">
        <v>279</v>
      </c>
      <c r="C275" s="2" t="s">
        <v>23</v>
      </c>
      <c r="D275" s="2" t="s">
        <v>247</v>
      </c>
      <c r="E275" s="2" t="s">
        <v>20</v>
      </c>
      <c r="F275" s="2">
        <v>89</v>
      </c>
      <c r="G275" s="2">
        <v>73</v>
      </c>
      <c r="H275" s="2">
        <v>82</v>
      </c>
      <c r="I275" s="2">
        <v>78</v>
      </c>
      <c r="J275" s="2">
        <v>85</v>
      </c>
      <c r="K275" s="2">
        <v>82</v>
      </c>
      <c r="L275">
        <f t="shared" si="12"/>
        <v>489</v>
      </c>
      <c r="M275" s="4">
        <f t="shared" si="13"/>
        <v>81.5</v>
      </c>
      <c r="N275" t="str" cm="1">
        <f t="array" ref="N275">_xlfn.IFS(M275&gt;=70,"A",M275&gt;=60,"B",M275&gt;=50,"C",M275&gt;=45,"D",M275&gt;=40,"E",TRUE,"F")</f>
        <v>A</v>
      </c>
      <c r="O275">
        <f t="shared" si="14"/>
        <v>5</v>
      </c>
    </row>
    <row r="276" spans="1:15" x14ac:dyDescent="0.35">
      <c r="A276" s="2" t="s">
        <v>278</v>
      </c>
      <c r="B276" s="2" t="s">
        <v>279</v>
      </c>
      <c r="C276" s="2" t="s">
        <v>23</v>
      </c>
      <c r="D276" s="2" t="s">
        <v>247</v>
      </c>
      <c r="E276" s="2" t="s">
        <v>15</v>
      </c>
      <c r="F276" s="2">
        <v>44</v>
      </c>
      <c r="G276" s="2">
        <v>67</v>
      </c>
      <c r="H276" s="2">
        <v>60</v>
      </c>
      <c r="I276" s="2">
        <v>61</v>
      </c>
      <c r="J276" s="2">
        <v>63</v>
      </c>
      <c r="K276" s="2">
        <v>67</v>
      </c>
      <c r="L276">
        <f t="shared" si="12"/>
        <v>362</v>
      </c>
      <c r="M276" s="4">
        <f t="shared" si="13"/>
        <v>60.333333333333336</v>
      </c>
      <c r="N276" t="str" cm="1">
        <f t="array" ref="N276">_xlfn.IFS(M276&gt;=70,"A",M276&gt;=60,"B",M276&gt;=50,"C",M276&gt;=45,"D",M276&gt;=40,"E",TRUE,"F")</f>
        <v>B</v>
      </c>
      <c r="O276">
        <f t="shared" si="14"/>
        <v>23</v>
      </c>
    </row>
    <row r="277" spans="1:15" x14ac:dyDescent="0.35">
      <c r="A277" s="2" t="s">
        <v>278</v>
      </c>
      <c r="B277" s="2" t="s">
        <v>279</v>
      </c>
      <c r="C277" s="2" t="s">
        <v>23</v>
      </c>
      <c r="D277" s="2" t="s">
        <v>247</v>
      </c>
      <c r="E277" s="2" t="s">
        <v>17</v>
      </c>
      <c r="F277" s="2">
        <v>69</v>
      </c>
      <c r="G277" s="2">
        <v>65</v>
      </c>
      <c r="H277" s="2">
        <v>68</v>
      </c>
      <c r="I277" s="2">
        <v>76</v>
      </c>
      <c r="J277" s="2">
        <v>67</v>
      </c>
      <c r="K277" s="2">
        <v>85</v>
      </c>
      <c r="L277">
        <f t="shared" si="12"/>
        <v>430</v>
      </c>
      <c r="M277" s="4">
        <f t="shared" si="13"/>
        <v>71.666666666666671</v>
      </c>
      <c r="N277" t="str" cm="1">
        <f t="array" ref="N277">_xlfn.IFS(M277&gt;=70,"A",M277&gt;=60,"B",M277&gt;=50,"C",M277&gt;=45,"D",M277&gt;=40,"E",TRUE,"F")</f>
        <v>A</v>
      </c>
      <c r="O277">
        <f t="shared" si="14"/>
        <v>12</v>
      </c>
    </row>
    <row r="278" spans="1:15" x14ac:dyDescent="0.35">
      <c r="A278" s="2" t="s">
        <v>280</v>
      </c>
      <c r="B278" s="2" t="s">
        <v>282</v>
      </c>
      <c r="C278" s="2" t="s">
        <v>18</v>
      </c>
      <c r="D278" s="2" t="s">
        <v>247</v>
      </c>
      <c r="E278" s="2" t="s">
        <v>15</v>
      </c>
      <c r="F278" s="2">
        <v>67</v>
      </c>
      <c r="G278" s="2">
        <v>55</v>
      </c>
      <c r="H278" s="2">
        <v>61</v>
      </c>
      <c r="I278" s="2">
        <v>64</v>
      </c>
      <c r="J278" s="2">
        <v>54</v>
      </c>
      <c r="K278" s="2">
        <v>48</v>
      </c>
      <c r="L278">
        <f t="shared" si="12"/>
        <v>349</v>
      </c>
      <c r="M278" s="4">
        <f t="shared" si="13"/>
        <v>58.166666666666664</v>
      </c>
      <c r="N278" t="str" cm="1">
        <f t="array" ref="N278">_xlfn.IFS(M278&gt;=70,"A",M278&gt;=60,"B",M278&gt;=50,"C",M278&gt;=45,"D",M278&gt;=40,"E",TRUE,"F")</f>
        <v>C</v>
      </c>
      <c r="O278">
        <f t="shared" si="14"/>
        <v>26</v>
      </c>
    </row>
    <row r="279" spans="1:15" x14ac:dyDescent="0.35">
      <c r="A279" s="2" t="s">
        <v>280</v>
      </c>
      <c r="B279" s="2" t="s">
        <v>282</v>
      </c>
      <c r="C279" s="2" t="s">
        <v>18</v>
      </c>
      <c r="D279" s="2" t="s">
        <v>247</v>
      </c>
      <c r="E279" s="2" t="s">
        <v>17</v>
      </c>
      <c r="F279" s="2">
        <v>55</v>
      </c>
      <c r="G279" s="2">
        <v>63</v>
      </c>
      <c r="H279" s="2">
        <v>51</v>
      </c>
      <c r="I279" s="2">
        <v>56</v>
      </c>
      <c r="J279" s="2">
        <v>68</v>
      </c>
      <c r="K279" s="2">
        <v>69</v>
      </c>
      <c r="L279">
        <f t="shared" si="12"/>
        <v>362</v>
      </c>
      <c r="M279" s="4">
        <f t="shared" si="13"/>
        <v>60.333333333333336</v>
      </c>
      <c r="N279" t="str" cm="1">
        <f t="array" ref="N279">_xlfn.IFS(M279&gt;=70,"A",M279&gt;=60,"B",M279&gt;=50,"C",M279&gt;=45,"D",M279&gt;=40,"E",TRUE,"F")</f>
        <v>B</v>
      </c>
      <c r="O279">
        <f t="shared" si="14"/>
        <v>23</v>
      </c>
    </row>
    <row r="280" spans="1:15" x14ac:dyDescent="0.35">
      <c r="A280" s="2" t="s">
        <v>280</v>
      </c>
      <c r="B280" s="2" t="s">
        <v>282</v>
      </c>
      <c r="C280" s="2" t="s">
        <v>18</v>
      </c>
      <c r="D280" s="2" t="s">
        <v>247</v>
      </c>
      <c r="E280" s="2" t="s">
        <v>20</v>
      </c>
      <c r="F280" s="2">
        <v>58</v>
      </c>
      <c r="G280" s="2">
        <v>59</v>
      </c>
      <c r="H280" s="2">
        <v>49</v>
      </c>
      <c r="I280" s="2">
        <v>51</v>
      </c>
      <c r="J280" s="2">
        <v>47</v>
      </c>
      <c r="K280" s="2">
        <v>62</v>
      </c>
      <c r="L280">
        <f t="shared" si="12"/>
        <v>326</v>
      </c>
      <c r="M280" s="4">
        <f t="shared" si="13"/>
        <v>54.333333333333336</v>
      </c>
      <c r="N280" t="str" cm="1">
        <f t="array" ref="N280">_xlfn.IFS(M280&gt;=70,"A",M280&gt;=60,"B",M280&gt;=50,"C",M280&gt;=45,"D",M280&gt;=40,"E",TRUE,"F")</f>
        <v>C</v>
      </c>
      <c r="O280">
        <f t="shared" si="14"/>
        <v>31</v>
      </c>
    </row>
    <row r="281" spans="1:15" x14ac:dyDescent="0.35">
      <c r="A281" s="2" t="s">
        <v>283</v>
      </c>
      <c r="B281" s="2" t="s">
        <v>284</v>
      </c>
      <c r="C281" s="2" t="s">
        <v>18</v>
      </c>
      <c r="D281" s="2" t="s">
        <v>247</v>
      </c>
      <c r="E281" s="2" t="s">
        <v>15</v>
      </c>
      <c r="F281" s="2">
        <v>73</v>
      </c>
      <c r="G281" s="2">
        <v>69</v>
      </c>
      <c r="H281" s="2">
        <v>63</v>
      </c>
      <c r="I281" s="2">
        <v>58</v>
      </c>
      <c r="J281" s="2">
        <v>65</v>
      </c>
      <c r="K281" s="2">
        <v>71</v>
      </c>
      <c r="L281">
        <f t="shared" si="12"/>
        <v>399</v>
      </c>
      <c r="M281" s="4">
        <f t="shared" si="13"/>
        <v>66.5</v>
      </c>
      <c r="N281" t="str" cm="1">
        <f t="array" ref="N281">_xlfn.IFS(M281&gt;=70,"A",M281&gt;=60,"B",M281&gt;=50,"C",M281&gt;=45,"D",M281&gt;=40,"E",TRUE,"F")</f>
        <v>B</v>
      </c>
      <c r="O281">
        <f t="shared" si="14"/>
        <v>14</v>
      </c>
    </row>
    <row r="282" spans="1:15" x14ac:dyDescent="0.35">
      <c r="A282" s="2" t="s">
        <v>283</v>
      </c>
      <c r="B282" s="2" t="s">
        <v>284</v>
      </c>
      <c r="C282" s="2" t="s">
        <v>18</v>
      </c>
      <c r="D282" s="2" t="s">
        <v>247</v>
      </c>
      <c r="E282" s="2" t="s">
        <v>17</v>
      </c>
      <c r="F282" s="2">
        <v>61</v>
      </c>
      <c r="G282" s="2">
        <v>74</v>
      </c>
      <c r="H282" s="2">
        <v>65</v>
      </c>
      <c r="I282" s="2">
        <v>76</v>
      </c>
      <c r="J282" s="2">
        <v>71</v>
      </c>
      <c r="K282" s="2">
        <v>73</v>
      </c>
      <c r="L282">
        <f t="shared" si="12"/>
        <v>420</v>
      </c>
      <c r="M282" s="4">
        <f t="shared" si="13"/>
        <v>70</v>
      </c>
      <c r="N282" t="str" cm="1">
        <f t="array" ref="N282">_xlfn.IFS(M282&gt;=70,"A",M282&gt;=60,"B",M282&gt;=50,"C",M282&gt;=45,"D",M282&gt;=40,"E",TRUE,"F")</f>
        <v>A</v>
      </c>
      <c r="O282">
        <f t="shared" si="14"/>
        <v>15</v>
      </c>
    </row>
    <row r="283" spans="1:15" x14ac:dyDescent="0.35">
      <c r="A283" s="2" t="s">
        <v>283</v>
      </c>
      <c r="B283" s="2" t="s">
        <v>284</v>
      </c>
      <c r="C283" s="2" t="s">
        <v>18</v>
      </c>
      <c r="D283" s="2" t="s">
        <v>247</v>
      </c>
      <c r="E283" s="2" t="s">
        <v>20</v>
      </c>
      <c r="F283" s="2">
        <v>74</v>
      </c>
      <c r="G283" s="2">
        <v>66</v>
      </c>
      <c r="H283" s="2">
        <v>67</v>
      </c>
      <c r="I283" s="2">
        <v>65</v>
      </c>
      <c r="J283" s="2">
        <v>76</v>
      </c>
      <c r="K283" s="2">
        <v>84</v>
      </c>
      <c r="L283">
        <f t="shared" si="12"/>
        <v>432</v>
      </c>
      <c r="M283" s="4">
        <f t="shared" si="13"/>
        <v>72</v>
      </c>
      <c r="N283" t="str" cm="1">
        <f t="array" ref="N283">_xlfn.IFS(M283&gt;=70,"A",M283&gt;=60,"B",M283&gt;=50,"C",M283&gt;=45,"D",M283&gt;=40,"E",TRUE,"F")</f>
        <v>A</v>
      </c>
      <c r="O283">
        <f t="shared" si="14"/>
        <v>15</v>
      </c>
    </row>
    <row r="284" spans="1:15" x14ac:dyDescent="0.35">
      <c r="A284" s="2" t="s">
        <v>285</v>
      </c>
      <c r="B284" s="2" t="s">
        <v>286</v>
      </c>
      <c r="C284" s="2" t="s">
        <v>18</v>
      </c>
      <c r="D284" s="2" t="s">
        <v>247</v>
      </c>
      <c r="E284" s="2" t="s">
        <v>15</v>
      </c>
      <c r="F284" s="2">
        <v>61</v>
      </c>
      <c r="G284" s="2">
        <v>67</v>
      </c>
      <c r="H284" s="2">
        <v>67</v>
      </c>
      <c r="I284" s="2">
        <v>69</v>
      </c>
      <c r="J284" s="2">
        <v>71</v>
      </c>
      <c r="K284" s="2">
        <v>71</v>
      </c>
      <c r="L284">
        <f t="shared" si="12"/>
        <v>406</v>
      </c>
      <c r="M284" s="4">
        <f t="shared" si="13"/>
        <v>67.666666666666671</v>
      </c>
      <c r="N284" t="str" cm="1">
        <f t="array" ref="N284">_xlfn.IFS(M284&gt;=70,"A",M284&gt;=60,"B",M284&gt;=50,"C",M284&gt;=45,"D",M284&gt;=40,"E",TRUE,"F")</f>
        <v>B</v>
      </c>
      <c r="O284">
        <f t="shared" si="14"/>
        <v>13</v>
      </c>
    </row>
    <row r="285" spans="1:15" x14ac:dyDescent="0.35">
      <c r="A285" s="2" t="s">
        <v>285</v>
      </c>
      <c r="B285" s="2" t="s">
        <v>286</v>
      </c>
      <c r="C285" s="2" t="s">
        <v>18</v>
      </c>
      <c r="D285" s="2" t="s">
        <v>247</v>
      </c>
      <c r="E285" s="2" t="s">
        <v>17</v>
      </c>
      <c r="F285" s="2">
        <v>51</v>
      </c>
      <c r="G285" s="2">
        <v>67</v>
      </c>
      <c r="H285" s="2">
        <v>68</v>
      </c>
      <c r="I285" s="2">
        <v>60</v>
      </c>
      <c r="J285" s="2">
        <v>69</v>
      </c>
      <c r="K285" s="2">
        <v>77</v>
      </c>
      <c r="L285">
        <f t="shared" si="12"/>
        <v>392</v>
      </c>
      <c r="M285" s="4">
        <f t="shared" si="13"/>
        <v>65.333333333333329</v>
      </c>
      <c r="N285" t="str" cm="1">
        <f t="array" ref="N285">_xlfn.IFS(M285&gt;=70,"A",M285&gt;=60,"B",M285&gt;=50,"C",M285&gt;=45,"D",M285&gt;=40,"E",TRUE,"F")</f>
        <v>B</v>
      </c>
      <c r="O285">
        <f t="shared" si="14"/>
        <v>20</v>
      </c>
    </row>
    <row r="286" spans="1:15" x14ac:dyDescent="0.35">
      <c r="A286" s="2" t="s">
        <v>285</v>
      </c>
      <c r="B286" s="2" t="s">
        <v>286</v>
      </c>
      <c r="C286" s="2" t="s">
        <v>18</v>
      </c>
      <c r="D286" s="2" t="s">
        <v>247</v>
      </c>
      <c r="E286" s="2" t="s">
        <v>20</v>
      </c>
      <c r="F286" s="2">
        <v>57</v>
      </c>
      <c r="G286" s="2">
        <v>56</v>
      </c>
      <c r="H286" s="2">
        <v>64</v>
      </c>
      <c r="I286" s="2">
        <v>80</v>
      </c>
      <c r="J286" s="2">
        <v>63</v>
      </c>
      <c r="K286" s="2">
        <v>71</v>
      </c>
      <c r="L286">
        <f t="shared" si="12"/>
        <v>391</v>
      </c>
      <c r="M286" s="4">
        <f t="shared" si="13"/>
        <v>65.166666666666671</v>
      </c>
      <c r="N286" t="str" cm="1">
        <f t="array" ref="N286">_xlfn.IFS(M286&gt;=70,"A",M286&gt;=60,"B",M286&gt;=50,"C",M286&gt;=45,"D",M286&gt;=40,"E",TRUE,"F")</f>
        <v>B</v>
      </c>
      <c r="O286">
        <f t="shared" si="14"/>
        <v>22</v>
      </c>
    </row>
    <row r="287" spans="1:15" x14ac:dyDescent="0.35">
      <c r="A287" s="2" t="s">
        <v>287</v>
      </c>
      <c r="B287" s="2" t="s">
        <v>288</v>
      </c>
      <c r="C287" s="2" t="s">
        <v>23</v>
      </c>
      <c r="D287" s="2" t="s">
        <v>247</v>
      </c>
      <c r="E287" s="2" t="s">
        <v>20</v>
      </c>
      <c r="F287" s="2">
        <v>81</v>
      </c>
      <c r="G287" s="2">
        <v>73</v>
      </c>
      <c r="H287" s="2">
        <v>72</v>
      </c>
      <c r="I287" s="2">
        <v>77</v>
      </c>
      <c r="J287" s="2">
        <v>84</v>
      </c>
      <c r="K287" s="2">
        <v>84</v>
      </c>
      <c r="L287">
        <f t="shared" si="12"/>
        <v>471</v>
      </c>
      <c r="M287" s="4">
        <f t="shared" si="13"/>
        <v>78.5</v>
      </c>
      <c r="N287" t="str" cm="1">
        <f t="array" ref="N287">_xlfn.IFS(M287&gt;=70,"A",M287&gt;=60,"B",M287&gt;=50,"C",M287&gt;=45,"D",M287&gt;=40,"E",TRUE,"F")</f>
        <v>A</v>
      </c>
      <c r="O287">
        <f t="shared" si="14"/>
        <v>8</v>
      </c>
    </row>
    <row r="288" spans="1:15" x14ac:dyDescent="0.35">
      <c r="A288" s="2" t="s">
        <v>287</v>
      </c>
      <c r="B288" s="2" t="s">
        <v>288</v>
      </c>
      <c r="C288" s="2" t="s">
        <v>23</v>
      </c>
      <c r="D288" s="2" t="s">
        <v>247</v>
      </c>
      <c r="E288" s="2" t="s">
        <v>15</v>
      </c>
      <c r="F288" s="2">
        <v>61</v>
      </c>
      <c r="G288" s="2">
        <v>70</v>
      </c>
      <c r="H288" s="2">
        <v>72</v>
      </c>
      <c r="I288" s="2">
        <v>86</v>
      </c>
      <c r="J288" s="2">
        <v>71</v>
      </c>
      <c r="K288" s="2">
        <v>73</v>
      </c>
      <c r="L288">
        <f t="shared" si="12"/>
        <v>433</v>
      </c>
      <c r="M288" s="4">
        <f t="shared" si="13"/>
        <v>72.166666666666671</v>
      </c>
      <c r="N288" t="str" cm="1">
        <f t="array" ref="N288">_xlfn.IFS(M288&gt;=70,"A",M288&gt;=60,"B",M288&gt;=50,"C",M288&gt;=45,"D",M288&gt;=40,"E",TRUE,"F")</f>
        <v>A</v>
      </c>
      <c r="O288">
        <f t="shared" si="14"/>
        <v>10</v>
      </c>
    </row>
    <row r="289" spans="1:15" x14ac:dyDescent="0.35">
      <c r="A289" s="2" t="s">
        <v>287</v>
      </c>
      <c r="B289" s="2" t="s">
        <v>288</v>
      </c>
      <c r="C289" s="2" t="s">
        <v>23</v>
      </c>
      <c r="D289" s="2" t="s">
        <v>247</v>
      </c>
      <c r="E289" s="2" t="s">
        <v>17</v>
      </c>
      <c r="F289" s="2">
        <v>64</v>
      </c>
      <c r="G289" s="2">
        <v>68</v>
      </c>
      <c r="H289" s="2">
        <v>63</v>
      </c>
      <c r="I289" s="2">
        <v>73</v>
      </c>
      <c r="J289" s="2">
        <v>79</v>
      </c>
      <c r="K289" s="2">
        <v>82</v>
      </c>
      <c r="L289">
        <f t="shared" si="12"/>
        <v>429</v>
      </c>
      <c r="M289" s="4">
        <f t="shared" si="13"/>
        <v>71.5</v>
      </c>
      <c r="N289" t="str" cm="1">
        <f t="array" ref="N289">_xlfn.IFS(M289&gt;=70,"A",M289&gt;=60,"B",M289&gt;=50,"C",M289&gt;=45,"D",M289&gt;=40,"E",TRUE,"F")</f>
        <v>A</v>
      </c>
      <c r="O289">
        <f t="shared" si="14"/>
        <v>13</v>
      </c>
    </row>
    <row r="290" spans="1:15" x14ac:dyDescent="0.35">
      <c r="A290" s="2" t="s">
        <v>289</v>
      </c>
      <c r="B290" s="2" t="s">
        <v>290</v>
      </c>
      <c r="C290" s="2" t="s">
        <v>23</v>
      </c>
      <c r="D290" s="2" t="s">
        <v>247</v>
      </c>
      <c r="E290" s="2" t="s">
        <v>20</v>
      </c>
      <c r="F290" s="2">
        <v>75</v>
      </c>
      <c r="G290" s="2">
        <v>98</v>
      </c>
      <c r="H290" s="2">
        <v>95</v>
      </c>
      <c r="I290" s="2">
        <v>91</v>
      </c>
      <c r="J290" s="2">
        <v>93</v>
      </c>
      <c r="K290" s="2">
        <v>94</v>
      </c>
      <c r="L290">
        <f t="shared" si="12"/>
        <v>546</v>
      </c>
      <c r="M290" s="4">
        <f t="shared" si="13"/>
        <v>91</v>
      </c>
      <c r="N290" t="str" cm="1">
        <f t="array" ref="N290">_xlfn.IFS(M290&gt;=70,"A",M290&gt;=60,"B",M290&gt;=50,"C",M290&gt;=45,"D",M290&gt;=40,"E",TRUE,"F")</f>
        <v>A</v>
      </c>
      <c r="O290">
        <f t="shared" si="14"/>
        <v>1</v>
      </c>
    </row>
    <row r="291" spans="1:15" x14ac:dyDescent="0.35">
      <c r="A291" s="2" t="s">
        <v>289</v>
      </c>
      <c r="B291" s="2" t="s">
        <v>290</v>
      </c>
      <c r="C291" s="2" t="s">
        <v>23</v>
      </c>
      <c r="D291" s="2" t="s">
        <v>247</v>
      </c>
      <c r="E291" s="2" t="s">
        <v>15</v>
      </c>
      <c r="F291" s="2">
        <v>81</v>
      </c>
      <c r="G291" s="2">
        <v>76</v>
      </c>
      <c r="H291" s="2">
        <v>86</v>
      </c>
      <c r="I291" s="2">
        <v>91</v>
      </c>
      <c r="J291" s="2">
        <v>84</v>
      </c>
      <c r="K291" s="2">
        <v>83</v>
      </c>
      <c r="L291">
        <f t="shared" si="12"/>
        <v>501</v>
      </c>
      <c r="M291" s="4">
        <f t="shared" si="13"/>
        <v>83.5</v>
      </c>
      <c r="N291" t="str" cm="1">
        <f t="array" ref="N291">_xlfn.IFS(M291&gt;=70,"A",M291&gt;=60,"B",M291&gt;=50,"C",M291&gt;=45,"D",M291&gt;=40,"E",TRUE,"F")</f>
        <v>A</v>
      </c>
      <c r="O291">
        <f t="shared" si="14"/>
        <v>2</v>
      </c>
    </row>
    <row r="292" spans="1:15" x14ac:dyDescent="0.35">
      <c r="A292" s="2" t="s">
        <v>289</v>
      </c>
      <c r="B292" s="2" t="s">
        <v>290</v>
      </c>
      <c r="C292" s="2" t="s">
        <v>23</v>
      </c>
      <c r="D292" s="2" t="s">
        <v>247</v>
      </c>
      <c r="E292" s="2" t="s">
        <v>17</v>
      </c>
      <c r="F292" s="2">
        <v>83</v>
      </c>
      <c r="G292" s="2">
        <v>82</v>
      </c>
      <c r="H292" s="2">
        <v>98</v>
      </c>
      <c r="I292" s="2">
        <v>91</v>
      </c>
      <c r="J292" s="2">
        <v>97</v>
      </c>
      <c r="K292" s="2">
        <v>84</v>
      </c>
      <c r="L292">
        <f t="shared" si="12"/>
        <v>535</v>
      </c>
      <c r="M292" s="4">
        <f t="shared" si="13"/>
        <v>89.166666666666671</v>
      </c>
      <c r="N292" t="str" cm="1">
        <f t="array" ref="N292">_xlfn.IFS(M292&gt;=70,"A",M292&gt;=60,"B",M292&gt;=50,"C",M292&gt;=45,"D",M292&gt;=40,"E",TRUE,"F")</f>
        <v>A</v>
      </c>
      <c r="O292">
        <f t="shared" si="14"/>
        <v>2</v>
      </c>
    </row>
    <row r="293" spans="1:15" x14ac:dyDescent="0.35">
      <c r="A293" s="2" t="s">
        <v>291</v>
      </c>
      <c r="B293" s="2" t="s">
        <v>292</v>
      </c>
      <c r="C293" s="2" t="s">
        <v>18</v>
      </c>
      <c r="D293" s="2" t="s">
        <v>247</v>
      </c>
      <c r="E293" s="2" t="s">
        <v>15</v>
      </c>
      <c r="F293" s="2">
        <v>62</v>
      </c>
      <c r="G293" s="2">
        <v>73</v>
      </c>
      <c r="H293" s="2">
        <v>54</v>
      </c>
      <c r="I293" s="2">
        <v>73</v>
      </c>
      <c r="J293" s="2">
        <v>64</v>
      </c>
      <c r="K293" s="2">
        <v>69</v>
      </c>
      <c r="L293">
        <f t="shared" si="12"/>
        <v>395</v>
      </c>
      <c r="M293" s="4">
        <f t="shared" si="13"/>
        <v>65.833333333333329</v>
      </c>
      <c r="N293" t="str" cm="1">
        <f t="array" ref="N293">_xlfn.IFS(M293&gt;=70,"A",M293&gt;=60,"B",M293&gt;=50,"C",M293&gt;=45,"D",M293&gt;=40,"E",TRUE,"F")</f>
        <v>B</v>
      </c>
      <c r="O293">
        <f t="shared" si="14"/>
        <v>18</v>
      </c>
    </row>
    <row r="294" spans="1:15" x14ac:dyDescent="0.35">
      <c r="A294" s="2" t="s">
        <v>291</v>
      </c>
      <c r="B294" s="2" t="s">
        <v>292</v>
      </c>
      <c r="C294" s="2" t="s">
        <v>18</v>
      </c>
      <c r="D294" s="2" t="s">
        <v>247</v>
      </c>
      <c r="E294" s="2" t="s">
        <v>17</v>
      </c>
      <c r="F294" s="2">
        <v>56</v>
      </c>
      <c r="G294" s="2">
        <v>53</v>
      </c>
      <c r="H294" s="2">
        <v>81</v>
      </c>
      <c r="I294" s="2">
        <v>83</v>
      </c>
      <c r="J294" s="2">
        <v>72</v>
      </c>
      <c r="K294" s="2">
        <v>73</v>
      </c>
      <c r="L294">
        <f t="shared" si="12"/>
        <v>418</v>
      </c>
      <c r="M294" s="4">
        <f t="shared" si="13"/>
        <v>69.666666666666671</v>
      </c>
      <c r="N294" t="str" cm="1">
        <f t="array" ref="N294">_xlfn.IFS(M294&gt;=70,"A",M294&gt;=60,"B",M294&gt;=50,"C",M294&gt;=45,"D",M294&gt;=40,"E",TRUE,"F")</f>
        <v>B</v>
      </c>
      <c r="O294">
        <f t="shared" si="14"/>
        <v>16</v>
      </c>
    </row>
    <row r="295" spans="1:15" x14ac:dyDescent="0.35">
      <c r="A295" s="2" t="s">
        <v>291</v>
      </c>
      <c r="B295" s="2" t="s">
        <v>292</v>
      </c>
      <c r="C295" s="2" t="s">
        <v>18</v>
      </c>
      <c r="D295" s="2" t="s">
        <v>247</v>
      </c>
      <c r="E295" s="2" t="s">
        <v>20</v>
      </c>
      <c r="F295" s="2">
        <v>46</v>
      </c>
      <c r="G295" s="2">
        <v>76</v>
      </c>
      <c r="H295" s="2">
        <v>57</v>
      </c>
      <c r="I295" s="2">
        <v>61</v>
      </c>
      <c r="J295" s="2">
        <v>71</v>
      </c>
      <c r="K295" s="2">
        <v>67</v>
      </c>
      <c r="L295">
        <f t="shared" si="12"/>
        <v>378</v>
      </c>
      <c r="M295" s="4">
        <f t="shared" si="13"/>
        <v>63</v>
      </c>
      <c r="N295" t="str" cm="1">
        <f t="array" ref="N295">_xlfn.IFS(M295&gt;=70,"A",M295&gt;=60,"B",M295&gt;=50,"C",M295&gt;=45,"D",M295&gt;=40,"E",TRUE,"F")</f>
        <v>B</v>
      </c>
      <c r="O295">
        <f t="shared" si="14"/>
        <v>25</v>
      </c>
    </row>
    <row r="296" spans="1:15" x14ac:dyDescent="0.35">
      <c r="A296" s="2" t="s">
        <v>293</v>
      </c>
      <c r="B296" s="2" t="s">
        <v>294</v>
      </c>
      <c r="C296" s="2" t="s">
        <v>18</v>
      </c>
      <c r="D296" s="2" t="s">
        <v>247</v>
      </c>
      <c r="E296" s="2" t="s">
        <v>20</v>
      </c>
      <c r="F296" s="2">
        <v>59</v>
      </c>
      <c r="G296" s="2">
        <v>62</v>
      </c>
      <c r="H296" s="2">
        <v>82</v>
      </c>
      <c r="I296" s="2">
        <v>84</v>
      </c>
      <c r="J296" s="2">
        <v>80</v>
      </c>
      <c r="K296" s="2">
        <v>75</v>
      </c>
      <c r="L296">
        <f t="shared" si="12"/>
        <v>442</v>
      </c>
      <c r="M296" s="4">
        <f t="shared" si="13"/>
        <v>73.666666666666671</v>
      </c>
      <c r="N296" t="str" cm="1">
        <f t="array" ref="N296">_xlfn.IFS(M296&gt;=70,"A",M296&gt;=60,"B",M296&gt;=50,"C",M296&gt;=45,"D",M296&gt;=40,"E",TRUE,"F")</f>
        <v>A</v>
      </c>
      <c r="O296">
        <f t="shared" si="14"/>
        <v>13</v>
      </c>
    </row>
    <row r="297" spans="1:15" x14ac:dyDescent="0.35">
      <c r="A297" s="2" t="s">
        <v>293</v>
      </c>
      <c r="B297" s="2" t="s">
        <v>294</v>
      </c>
      <c r="C297" s="2" t="s">
        <v>18</v>
      </c>
      <c r="D297" s="2" t="s">
        <v>247</v>
      </c>
      <c r="E297" s="2" t="s">
        <v>15</v>
      </c>
      <c r="F297" s="2">
        <v>54</v>
      </c>
      <c r="G297" s="2">
        <v>64</v>
      </c>
      <c r="H297" s="2">
        <v>61</v>
      </c>
      <c r="I297" s="2">
        <v>69</v>
      </c>
      <c r="J297" s="2">
        <v>74</v>
      </c>
      <c r="K297" s="2">
        <v>75</v>
      </c>
      <c r="L297">
        <f t="shared" si="12"/>
        <v>397</v>
      </c>
      <c r="M297" s="4">
        <f t="shared" si="13"/>
        <v>66.166666666666671</v>
      </c>
      <c r="N297" t="str" cm="1">
        <f t="array" ref="N297">_xlfn.IFS(M297&gt;=70,"A",M297&gt;=60,"B",M297&gt;=50,"C",M297&gt;=45,"D",M297&gt;=40,"E",TRUE,"F")</f>
        <v>B</v>
      </c>
      <c r="O297">
        <f t="shared" si="14"/>
        <v>15</v>
      </c>
    </row>
    <row r="298" spans="1:15" x14ac:dyDescent="0.35">
      <c r="A298" s="2" t="s">
        <v>293</v>
      </c>
      <c r="B298" s="2" t="s">
        <v>294</v>
      </c>
      <c r="C298" s="2" t="s">
        <v>18</v>
      </c>
      <c r="D298" s="2" t="s">
        <v>247</v>
      </c>
      <c r="E298" s="2" t="s">
        <v>17</v>
      </c>
      <c r="F298" s="2">
        <v>72</v>
      </c>
      <c r="G298" s="2">
        <v>69</v>
      </c>
      <c r="H298" s="2">
        <v>74</v>
      </c>
      <c r="I298" s="2">
        <v>84</v>
      </c>
      <c r="J298" s="2">
        <v>65</v>
      </c>
      <c r="K298" s="2">
        <v>80</v>
      </c>
      <c r="L298">
        <f t="shared" si="12"/>
        <v>444</v>
      </c>
      <c r="M298" s="4">
        <f t="shared" si="13"/>
        <v>74</v>
      </c>
      <c r="N298" t="str" cm="1">
        <f t="array" ref="N298">_xlfn.IFS(M298&gt;=70,"A",M298&gt;=60,"B",M298&gt;=50,"C",M298&gt;=45,"D",M298&gt;=40,"E",TRUE,"F")</f>
        <v>A</v>
      </c>
      <c r="O298">
        <f t="shared" si="14"/>
        <v>11</v>
      </c>
    </row>
    <row r="299" spans="1:15" x14ac:dyDescent="0.35">
      <c r="A299" s="2" t="s">
        <v>295</v>
      </c>
      <c r="B299" s="2" t="s">
        <v>296</v>
      </c>
      <c r="C299" s="2" t="s">
        <v>23</v>
      </c>
      <c r="D299" s="2" t="s">
        <v>247</v>
      </c>
      <c r="E299" s="2" t="s">
        <v>20</v>
      </c>
      <c r="F299" s="2">
        <v>63</v>
      </c>
      <c r="G299" s="2">
        <v>82</v>
      </c>
      <c r="H299" s="2">
        <v>84</v>
      </c>
      <c r="I299" s="2">
        <v>77</v>
      </c>
      <c r="J299" s="2">
        <v>70</v>
      </c>
      <c r="K299" s="2">
        <v>85</v>
      </c>
      <c r="L299">
        <f t="shared" si="12"/>
        <v>461</v>
      </c>
      <c r="M299" s="4">
        <f t="shared" si="13"/>
        <v>76.833333333333329</v>
      </c>
      <c r="N299" t="str" cm="1">
        <f t="array" ref="N299">_xlfn.IFS(M299&gt;=70,"A",M299&gt;=60,"B",M299&gt;=50,"C",M299&gt;=45,"D",M299&gt;=40,"E",TRUE,"F")</f>
        <v>A</v>
      </c>
      <c r="O299">
        <f t="shared" si="14"/>
        <v>10</v>
      </c>
    </row>
    <row r="300" spans="1:15" x14ac:dyDescent="0.35">
      <c r="A300" s="2" t="s">
        <v>295</v>
      </c>
      <c r="B300" s="2" t="s">
        <v>296</v>
      </c>
      <c r="C300" s="2" t="s">
        <v>23</v>
      </c>
      <c r="D300" s="2" t="s">
        <v>247</v>
      </c>
      <c r="E300" s="2" t="s">
        <v>15</v>
      </c>
      <c r="F300" s="2">
        <v>73</v>
      </c>
      <c r="G300" s="2">
        <v>59</v>
      </c>
      <c r="H300" s="2">
        <v>67</v>
      </c>
      <c r="I300" s="2">
        <v>75</v>
      </c>
      <c r="J300" s="2">
        <v>81</v>
      </c>
      <c r="K300" s="2">
        <v>64</v>
      </c>
      <c r="L300">
        <f t="shared" si="12"/>
        <v>419</v>
      </c>
      <c r="M300" s="4">
        <f t="shared" si="13"/>
        <v>69.833333333333329</v>
      </c>
      <c r="N300" t="str" cm="1">
        <f t="array" ref="N300">_xlfn.IFS(M300&gt;=70,"A",M300&gt;=60,"B",M300&gt;=50,"C",M300&gt;=45,"D",M300&gt;=40,"E",TRUE,"F")</f>
        <v>B</v>
      </c>
      <c r="O300">
        <f t="shared" si="14"/>
        <v>11</v>
      </c>
    </row>
    <row r="301" spans="1:15" x14ac:dyDescent="0.35">
      <c r="A301" s="2" t="s">
        <v>295</v>
      </c>
      <c r="B301" s="2" t="s">
        <v>296</v>
      </c>
      <c r="C301" s="2" t="s">
        <v>23</v>
      </c>
      <c r="D301" s="2" t="s">
        <v>247</v>
      </c>
      <c r="E301" s="2" t="s">
        <v>17</v>
      </c>
      <c r="F301" s="2">
        <v>46</v>
      </c>
      <c r="G301" s="2">
        <v>75</v>
      </c>
      <c r="H301" s="2">
        <v>74</v>
      </c>
      <c r="I301" s="2">
        <v>78</v>
      </c>
      <c r="J301" s="2">
        <v>72</v>
      </c>
      <c r="K301" s="2">
        <v>80</v>
      </c>
      <c r="L301">
        <f t="shared" si="12"/>
        <v>425</v>
      </c>
      <c r="M301" s="4">
        <f t="shared" si="13"/>
        <v>70.833333333333329</v>
      </c>
      <c r="N301" t="str" cm="1">
        <f t="array" ref="N301">_xlfn.IFS(M301&gt;=70,"A",M301&gt;=60,"B",M301&gt;=50,"C",M301&gt;=45,"D",M301&gt;=40,"E",TRUE,"F")</f>
        <v>A</v>
      </c>
      <c r="O301">
        <f t="shared" si="14"/>
        <v>14</v>
      </c>
    </row>
    <row r="302" spans="1:15" x14ac:dyDescent="0.35">
      <c r="A302" s="2" t="s">
        <v>297</v>
      </c>
      <c r="B302" s="2" t="s">
        <v>298</v>
      </c>
      <c r="C302" s="2" t="s">
        <v>23</v>
      </c>
      <c r="D302" s="2" t="s">
        <v>247</v>
      </c>
      <c r="E302" s="2" t="s">
        <v>15</v>
      </c>
      <c r="F302" s="2">
        <v>46</v>
      </c>
      <c r="G302" s="2">
        <v>53</v>
      </c>
      <c r="H302" s="2">
        <v>61</v>
      </c>
      <c r="I302" s="2">
        <v>58</v>
      </c>
      <c r="J302" s="2">
        <v>72</v>
      </c>
      <c r="K302" s="2">
        <v>62</v>
      </c>
      <c r="L302">
        <f t="shared" si="12"/>
        <v>352</v>
      </c>
      <c r="M302" s="4">
        <f t="shared" si="13"/>
        <v>58.666666666666664</v>
      </c>
      <c r="N302" t="str" cm="1">
        <f t="array" ref="N302">_xlfn.IFS(M302&gt;=70,"A",M302&gt;=60,"B",M302&gt;=50,"C",M302&gt;=45,"D",M302&gt;=40,"E",TRUE,"F")</f>
        <v>C</v>
      </c>
      <c r="O302">
        <f t="shared" si="14"/>
        <v>25</v>
      </c>
    </row>
    <row r="303" spans="1:15" x14ac:dyDescent="0.35">
      <c r="A303" s="2" t="s">
        <v>297</v>
      </c>
      <c r="B303" s="2" t="s">
        <v>298</v>
      </c>
      <c r="C303" s="2" t="s">
        <v>23</v>
      </c>
      <c r="D303" s="2" t="s">
        <v>247</v>
      </c>
      <c r="E303" s="2" t="s">
        <v>17</v>
      </c>
      <c r="F303" s="2">
        <v>45</v>
      </c>
      <c r="G303" s="2">
        <v>67</v>
      </c>
      <c r="H303" s="2">
        <v>56</v>
      </c>
      <c r="I303" s="2">
        <v>58</v>
      </c>
      <c r="J303" s="2">
        <v>65</v>
      </c>
      <c r="K303" s="2">
        <v>65</v>
      </c>
      <c r="L303">
        <f t="shared" si="12"/>
        <v>356</v>
      </c>
      <c r="M303" s="4">
        <f t="shared" si="13"/>
        <v>59.333333333333336</v>
      </c>
      <c r="N303" t="str" cm="1">
        <f t="array" ref="N303">_xlfn.IFS(M303&gt;=70,"A",M303&gt;=60,"B",M303&gt;=50,"C",M303&gt;=45,"D",M303&gt;=40,"E",TRUE,"F")</f>
        <v>C</v>
      </c>
      <c r="O303">
        <f t="shared" si="14"/>
        <v>26</v>
      </c>
    </row>
    <row r="304" spans="1:15" x14ac:dyDescent="0.35">
      <c r="A304" s="2" t="s">
        <v>297</v>
      </c>
      <c r="B304" s="2" t="s">
        <v>298</v>
      </c>
      <c r="C304" s="2" t="s">
        <v>23</v>
      </c>
      <c r="D304" s="2" t="s">
        <v>247</v>
      </c>
      <c r="E304" s="2" t="s">
        <v>20</v>
      </c>
      <c r="F304" s="2">
        <v>47</v>
      </c>
      <c r="G304" s="2">
        <v>58</v>
      </c>
      <c r="H304" s="2">
        <v>70</v>
      </c>
      <c r="I304" s="2">
        <v>68</v>
      </c>
      <c r="J304" s="2">
        <v>72</v>
      </c>
      <c r="K304" s="2">
        <v>77</v>
      </c>
      <c r="L304">
        <f t="shared" si="12"/>
        <v>392</v>
      </c>
      <c r="M304" s="4">
        <f t="shared" si="13"/>
        <v>65.333333333333329</v>
      </c>
      <c r="N304" t="str" cm="1">
        <f t="array" ref="N304">_xlfn.IFS(M304&gt;=70,"A",M304&gt;=60,"B",M304&gt;=50,"C",M304&gt;=45,"D",M304&gt;=40,"E",TRUE,"F")</f>
        <v>B</v>
      </c>
      <c r="O304">
        <f t="shared" si="14"/>
        <v>21</v>
      </c>
    </row>
    <row r="305" spans="1:15" x14ac:dyDescent="0.35">
      <c r="A305" s="2" t="s">
        <v>301</v>
      </c>
      <c r="B305" s="2" t="s">
        <v>302</v>
      </c>
      <c r="C305" s="2" t="s">
        <v>23</v>
      </c>
      <c r="D305" s="2" t="s">
        <v>247</v>
      </c>
      <c r="E305" s="2" t="s">
        <v>20</v>
      </c>
      <c r="F305" s="2">
        <v>68</v>
      </c>
      <c r="G305" s="2">
        <v>53</v>
      </c>
      <c r="H305" s="2">
        <v>63</v>
      </c>
      <c r="I305" s="2">
        <v>71</v>
      </c>
      <c r="J305" s="2">
        <v>59</v>
      </c>
      <c r="K305" s="2">
        <v>79</v>
      </c>
      <c r="L305">
        <f t="shared" si="12"/>
        <v>393</v>
      </c>
      <c r="M305" s="4">
        <f t="shared" si="13"/>
        <v>65.5</v>
      </c>
      <c r="N305" t="str" cm="1">
        <f t="array" ref="N305">_xlfn.IFS(M305&gt;=70,"A",M305&gt;=60,"B",M305&gt;=50,"C",M305&gt;=45,"D",M305&gt;=40,"E",TRUE,"F")</f>
        <v>B</v>
      </c>
      <c r="O305">
        <f t="shared" si="14"/>
        <v>20</v>
      </c>
    </row>
    <row r="306" spans="1:15" x14ac:dyDescent="0.35">
      <c r="A306" s="2" t="s">
        <v>301</v>
      </c>
      <c r="B306" s="2" t="s">
        <v>302</v>
      </c>
      <c r="C306" s="2" t="s">
        <v>23</v>
      </c>
      <c r="D306" s="2" t="s">
        <v>247</v>
      </c>
      <c r="E306" s="2" t="s">
        <v>15</v>
      </c>
      <c r="F306" s="2">
        <v>58</v>
      </c>
      <c r="G306" s="2">
        <v>47</v>
      </c>
      <c r="H306" s="2">
        <v>45</v>
      </c>
      <c r="I306" s="2">
        <v>48</v>
      </c>
      <c r="J306" s="2">
        <v>52</v>
      </c>
      <c r="K306" s="2">
        <v>51</v>
      </c>
      <c r="L306">
        <f t="shared" si="12"/>
        <v>301</v>
      </c>
      <c r="M306" s="4">
        <f t="shared" si="13"/>
        <v>50.166666666666664</v>
      </c>
      <c r="N306" t="str" cm="1">
        <f t="array" ref="N306">_xlfn.IFS(M306&gt;=70,"A",M306&gt;=60,"B",M306&gt;=50,"C",M306&gt;=45,"D",M306&gt;=40,"E",TRUE,"F")</f>
        <v>C</v>
      </c>
      <c r="O306">
        <f t="shared" si="14"/>
        <v>31</v>
      </c>
    </row>
    <row r="307" spans="1:15" x14ac:dyDescent="0.35">
      <c r="A307" s="2" t="s">
        <v>301</v>
      </c>
      <c r="B307" s="2" t="s">
        <v>302</v>
      </c>
      <c r="C307" s="2" t="s">
        <v>23</v>
      </c>
      <c r="D307" s="2" t="s">
        <v>247</v>
      </c>
      <c r="E307" s="2" t="s">
        <v>17</v>
      </c>
      <c r="F307" s="2">
        <v>54</v>
      </c>
      <c r="G307" s="2">
        <v>60</v>
      </c>
      <c r="H307" s="2">
        <v>63</v>
      </c>
      <c r="I307" s="2">
        <v>55</v>
      </c>
      <c r="J307" s="2">
        <v>60</v>
      </c>
      <c r="K307" s="2">
        <v>69</v>
      </c>
      <c r="L307">
        <f t="shared" si="12"/>
        <v>361</v>
      </c>
      <c r="M307" s="4">
        <f t="shared" si="13"/>
        <v>60.166666666666664</v>
      </c>
      <c r="N307" t="str" cm="1">
        <f t="array" ref="N307">_xlfn.IFS(M307&gt;=70,"A",M307&gt;=60,"B",M307&gt;=50,"C",M307&gt;=45,"D",M307&gt;=40,"E",TRUE,"F")</f>
        <v>B</v>
      </c>
      <c r="O307">
        <f t="shared" si="14"/>
        <v>24</v>
      </c>
    </row>
    <row r="308" spans="1:15" x14ac:dyDescent="0.35">
      <c r="A308" s="2" t="s">
        <v>304</v>
      </c>
      <c r="B308" s="2" t="s">
        <v>305</v>
      </c>
      <c r="C308" s="2" t="s">
        <v>23</v>
      </c>
      <c r="D308" s="2" t="s">
        <v>247</v>
      </c>
      <c r="E308" s="2" t="s">
        <v>15</v>
      </c>
      <c r="F308" s="2">
        <v>45</v>
      </c>
      <c r="G308" s="2">
        <v>29</v>
      </c>
      <c r="H308" s="2">
        <v>30</v>
      </c>
      <c r="I308" s="2">
        <v>52</v>
      </c>
      <c r="J308" s="2">
        <v>54</v>
      </c>
      <c r="K308" s="2">
        <v>40</v>
      </c>
      <c r="L308">
        <f t="shared" si="12"/>
        <v>250</v>
      </c>
      <c r="M308" s="4">
        <f t="shared" si="13"/>
        <v>41.666666666666664</v>
      </c>
      <c r="N308" t="str" cm="1">
        <f t="array" ref="N308">_xlfn.IFS(M308&gt;=70,"A",M308&gt;=60,"B",M308&gt;=50,"C",M308&gt;=45,"D",M308&gt;=40,"E",TRUE,"F")</f>
        <v>E</v>
      </c>
      <c r="O308">
        <f t="shared" si="14"/>
        <v>40</v>
      </c>
    </row>
    <row r="309" spans="1:15" x14ac:dyDescent="0.35">
      <c r="A309" s="2" t="s">
        <v>304</v>
      </c>
      <c r="B309" s="2" t="s">
        <v>305</v>
      </c>
      <c r="C309" s="2" t="s">
        <v>23</v>
      </c>
      <c r="D309" s="2" t="s">
        <v>247</v>
      </c>
      <c r="E309" s="2" t="s">
        <v>17</v>
      </c>
      <c r="F309" s="2">
        <v>25</v>
      </c>
      <c r="G309" s="2">
        <v>43</v>
      </c>
      <c r="H309" s="2">
        <v>35</v>
      </c>
      <c r="I309" s="2">
        <v>38</v>
      </c>
      <c r="J309" s="2">
        <v>54</v>
      </c>
      <c r="K309" s="2">
        <v>46</v>
      </c>
      <c r="L309">
        <f t="shared" si="12"/>
        <v>241</v>
      </c>
      <c r="M309" s="4">
        <f t="shared" si="13"/>
        <v>40.166666666666664</v>
      </c>
      <c r="N309" t="str" cm="1">
        <f t="array" ref="N309">_xlfn.IFS(M309&gt;=70,"A",M309&gt;=60,"B",M309&gt;=50,"C",M309&gt;=45,"D",M309&gt;=40,"E",TRUE,"F")</f>
        <v>E</v>
      </c>
      <c r="O309">
        <f t="shared" si="14"/>
        <v>39</v>
      </c>
    </row>
    <row r="310" spans="1:15" x14ac:dyDescent="0.35">
      <c r="A310" s="2" t="s">
        <v>304</v>
      </c>
      <c r="B310" s="2" t="s">
        <v>305</v>
      </c>
      <c r="C310" s="2" t="s">
        <v>23</v>
      </c>
      <c r="D310" s="2" t="s">
        <v>247</v>
      </c>
      <c r="E310" s="2" t="s">
        <v>20</v>
      </c>
      <c r="F310" s="2">
        <v>15</v>
      </c>
      <c r="G310" s="2">
        <v>36</v>
      </c>
      <c r="H310" s="2">
        <v>22</v>
      </c>
      <c r="I310" s="2">
        <v>42</v>
      </c>
      <c r="J310" s="2">
        <v>45</v>
      </c>
      <c r="K310" s="2">
        <v>43</v>
      </c>
      <c r="L310">
        <f t="shared" si="12"/>
        <v>203</v>
      </c>
      <c r="M310" s="4">
        <f t="shared" si="13"/>
        <v>33.833333333333336</v>
      </c>
      <c r="N310" t="str" cm="1">
        <f t="array" ref="N310">_xlfn.IFS(M310&gt;=70,"A",M310&gt;=60,"B",M310&gt;=50,"C",M310&gt;=45,"D",M310&gt;=40,"E",TRUE,"F")</f>
        <v>F</v>
      </c>
      <c r="O310">
        <f t="shared" si="14"/>
        <v>40</v>
      </c>
    </row>
    <row r="311" spans="1:15" x14ac:dyDescent="0.35">
      <c r="A311" s="2" t="s">
        <v>307</v>
      </c>
      <c r="B311" s="2" t="s">
        <v>308</v>
      </c>
      <c r="C311" s="2" t="s">
        <v>23</v>
      </c>
      <c r="D311" s="2" t="s">
        <v>247</v>
      </c>
      <c r="E311" s="2" t="s">
        <v>15</v>
      </c>
      <c r="F311" s="2">
        <v>39</v>
      </c>
      <c r="G311" s="2">
        <v>52</v>
      </c>
      <c r="H311" s="2">
        <v>42</v>
      </c>
      <c r="I311" s="2">
        <v>39</v>
      </c>
      <c r="J311" s="2">
        <v>35</v>
      </c>
      <c r="K311" s="2">
        <v>46</v>
      </c>
      <c r="L311">
        <f t="shared" si="12"/>
        <v>253</v>
      </c>
      <c r="M311" s="4">
        <f t="shared" si="13"/>
        <v>42.166666666666664</v>
      </c>
      <c r="N311" t="str" cm="1">
        <f t="array" ref="N311">_xlfn.IFS(M311&gt;=70,"A",M311&gt;=60,"B",M311&gt;=50,"C",M311&gt;=45,"D",M311&gt;=40,"E",TRUE,"F")</f>
        <v>E</v>
      </c>
      <c r="O311">
        <f t="shared" si="14"/>
        <v>39</v>
      </c>
    </row>
    <row r="312" spans="1:15" x14ac:dyDescent="0.35">
      <c r="A312" s="2" t="s">
        <v>307</v>
      </c>
      <c r="B312" s="2" t="s">
        <v>308</v>
      </c>
      <c r="C312" s="2" t="s">
        <v>23</v>
      </c>
      <c r="D312" s="2" t="s">
        <v>247</v>
      </c>
      <c r="E312" s="2" t="s">
        <v>17</v>
      </c>
      <c r="F312" s="2">
        <v>24</v>
      </c>
      <c r="G312" s="2">
        <v>28</v>
      </c>
      <c r="H312" s="2">
        <v>32</v>
      </c>
      <c r="I312" s="2">
        <v>28</v>
      </c>
      <c r="J312" s="2">
        <v>32</v>
      </c>
      <c r="K312" s="2">
        <v>47</v>
      </c>
      <c r="L312">
        <f t="shared" si="12"/>
        <v>191</v>
      </c>
      <c r="M312" s="4">
        <f t="shared" si="13"/>
        <v>31.833333333333332</v>
      </c>
      <c r="N312" t="str" cm="1">
        <f t="array" ref="N312">_xlfn.IFS(M312&gt;=70,"A",M312&gt;=60,"B",M312&gt;=50,"C",M312&gt;=45,"D",M312&gt;=40,"E",TRUE,"F")</f>
        <v>F</v>
      </c>
      <c r="O312">
        <f t="shared" si="14"/>
        <v>40</v>
      </c>
    </row>
    <row r="313" spans="1:15" x14ac:dyDescent="0.35">
      <c r="A313" s="2" t="s">
        <v>307</v>
      </c>
      <c r="B313" s="2" t="s">
        <v>308</v>
      </c>
      <c r="C313" s="2" t="s">
        <v>23</v>
      </c>
      <c r="D313" s="2" t="s">
        <v>247</v>
      </c>
      <c r="E313" s="2" t="s">
        <v>20</v>
      </c>
      <c r="F313" s="2">
        <v>27</v>
      </c>
      <c r="G313" s="2">
        <v>34</v>
      </c>
      <c r="H313" s="2">
        <v>34</v>
      </c>
      <c r="I313" s="2">
        <v>26</v>
      </c>
      <c r="J313" s="2">
        <v>42</v>
      </c>
      <c r="K313" s="2">
        <v>42</v>
      </c>
      <c r="L313">
        <f t="shared" si="12"/>
        <v>205</v>
      </c>
      <c r="M313" s="4">
        <f t="shared" si="13"/>
        <v>34.166666666666664</v>
      </c>
      <c r="N313" t="str" cm="1">
        <f t="array" ref="N313">_xlfn.IFS(M313&gt;=70,"A",M313&gt;=60,"B",M313&gt;=50,"C",M313&gt;=45,"D",M313&gt;=40,"E",TRUE,"F")</f>
        <v>F</v>
      </c>
      <c r="O313">
        <f t="shared" si="14"/>
        <v>39</v>
      </c>
    </row>
    <row r="314" spans="1:15" x14ac:dyDescent="0.35">
      <c r="A314" s="2" t="s">
        <v>310</v>
      </c>
      <c r="B314" s="2" t="s">
        <v>311</v>
      </c>
      <c r="C314" s="2" t="s">
        <v>18</v>
      </c>
      <c r="D314" s="2" t="s">
        <v>247</v>
      </c>
      <c r="E314" s="2" t="s">
        <v>20</v>
      </c>
      <c r="F314" s="2">
        <v>58</v>
      </c>
      <c r="G314" s="2">
        <v>65</v>
      </c>
      <c r="H314" s="2">
        <v>64</v>
      </c>
      <c r="I314" s="2">
        <v>69</v>
      </c>
      <c r="J314" s="2">
        <v>75</v>
      </c>
      <c r="K314" s="2">
        <v>75</v>
      </c>
      <c r="L314">
        <f t="shared" si="12"/>
        <v>406</v>
      </c>
      <c r="M314" s="4">
        <f t="shared" si="13"/>
        <v>67.666666666666671</v>
      </c>
      <c r="N314" t="str" cm="1">
        <f t="array" ref="N314">_xlfn.IFS(M314&gt;=70,"A",M314&gt;=60,"B",M314&gt;=50,"C",M314&gt;=45,"D",M314&gt;=40,"E",TRUE,"F")</f>
        <v>B</v>
      </c>
      <c r="O314">
        <f t="shared" si="14"/>
        <v>18</v>
      </c>
    </row>
    <row r="315" spans="1:15" x14ac:dyDescent="0.35">
      <c r="A315" s="2" t="s">
        <v>310</v>
      </c>
      <c r="B315" s="2" t="s">
        <v>311</v>
      </c>
      <c r="C315" s="2" t="s">
        <v>18</v>
      </c>
      <c r="D315" s="2" t="s">
        <v>247</v>
      </c>
      <c r="E315" s="2" t="s">
        <v>15</v>
      </c>
      <c r="F315" s="2">
        <v>39</v>
      </c>
      <c r="G315" s="2">
        <v>47</v>
      </c>
      <c r="H315" s="2">
        <v>28</v>
      </c>
      <c r="I315" s="2">
        <v>61</v>
      </c>
      <c r="J315" s="2">
        <v>47</v>
      </c>
      <c r="K315" s="2">
        <v>41</v>
      </c>
      <c r="L315">
        <f t="shared" si="12"/>
        <v>263</v>
      </c>
      <c r="M315" s="4">
        <f t="shared" si="13"/>
        <v>43.833333333333336</v>
      </c>
      <c r="N315" t="str" cm="1">
        <f t="array" ref="N315">_xlfn.IFS(M315&gt;=70,"A",M315&gt;=60,"B",M315&gt;=50,"C",M315&gt;=45,"D",M315&gt;=40,"E",TRUE,"F")</f>
        <v>E</v>
      </c>
      <c r="O315">
        <f t="shared" si="14"/>
        <v>37</v>
      </c>
    </row>
    <row r="316" spans="1:15" x14ac:dyDescent="0.35">
      <c r="A316" s="2" t="s">
        <v>310</v>
      </c>
      <c r="B316" s="2" t="s">
        <v>311</v>
      </c>
      <c r="C316" s="2" t="s">
        <v>18</v>
      </c>
      <c r="D316" s="2" t="s">
        <v>247</v>
      </c>
      <c r="E316" s="2" t="s">
        <v>17</v>
      </c>
      <c r="F316" s="2">
        <v>49</v>
      </c>
      <c r="G316" s="2">
        <v>45</v>
      </c>
      <c r="H316" s="2">
        <v>52</v>
      </c>
      <c r="I316" s="2">
        <v>61</v>
      </c>
      <c r="J316" s="2">
        <v>49</v>
      </c>
      <c r="K316" s="2">
        <v>66</v>
      </c>
      <c r="L316">
        <f t="shared" si="12"/>
        <v>322</v>
      </c>
      <c r="M316" s="4">
        <f t="shared" si="13"/>
        <v>53.666666666666664</v>
      </c>
      <c r="N316" t="str" cm="1">
        <f t="array" ref="N316">_xlfn.IFS(M316&gt;=70,"A",M316&gt;=60,"B",M316&gt;=50,"C",M316&gt;=45,"D",M316&gt;=40,"E",TRUE,"F")</f>
        <v>C</v>
      </c>
      <c r="O316">
        <f t="shared" si="14"/>
        <v>31</v>
      </c>
    </row>
    <row r="317" spans="1:15" x14ac:dyDescent="0.35">
      <c r="A317" s="2" t="s">
        <v>312</v>
      </c>
      <c r="B317" s="2" t="s">
        <v>314</v>
      </c>
      <c r="C317" s="2" t="s">
        <v>23</v>
      </c>
      <c r="D317" s="2" t="s">
        <v>247</v>
      </c>
      <c r="E317" s="2" t="s">
        <v>15</v>
      </c>
      <c r="F317" s="2">
        <v>52</v>
      </c>
      <c r="G317" s="2">
        <v>49</v>
      </c>
      <c r="H317" s="2">
        <v>55</v>
      </c>
      <c r="I317" s="2">
        <v>54</v>
      </c>
      <c r="J317" s="2">
        <v>48</v>
      </c>
      <c r="K317" s="2">
        <v>60</v>
      </c>
      <c r="L317">
        <f t="shared" si="12"/>
        <v>318</v>
      </c>
      <c r="M317" s="4">
        <f t="shared" si="13"/>
        <v>53</v>
      </c>
      <c r="N317" t="str" cm="1">
        <f t="array" ref="N317">_xlfn.IFS(M317&gt;=70,"A",M317&gt;=60,"B",M317&gt;=50,"C",M317&gt;=45,"D",M317&gt;=40,"E",TRUE,"F")</f>
        <v>C</v>
      </c>
      <c r="O317">
        <f t="shared" si="14"/>
        <v>29</v>
      </c>
    </row>
    <row r="318" spans="1:15" x14ac:dyDescent="0.35">
      <c r="A318" s="2" t="s">
        <v>312</v>
      </c>
      <c r="B318" s="2" t="s">
        <v>314</v>
      </c>
      <c r="C318" s="2" t="s">
        <v>23</v>
      </c>
      <c r="D318" s="2" t="s">
        <v>247</v>
      </c>
      <c r="E318" s="2" t="s">
        <v>17</v>
      </c>
      <c r="F318" s="2">
        <v>39</v>
      </c>
      <c r="G318" s="2">
        <v>60</v>
      </c>
      <c r="H318" s="2">
        <v>50</v>
      </c>
      <c r="I318" s="2">
        <v>55</v>
      </c>
      <c r="J318" s="2">
        <v>61</v>
      </c>
      <c r="K318" s="2">
        <v>55</v>
      </c>
      <c r="L318">
        <f t="shared" si="12"/>
        <v>320</v>
      </c>
      <c r="M318" s="4">
        <f t="shared" si="13"/>
        <v>53.333333333333336</v>
      </c>
      <c r="N318" t="str" cm="1">
        <f t="array" ref="N318">_xlfn.IFS(M318&gt;=70,"A",M318&gt;=60,"B",M318&gt;=50,"C",M318&gt;=45,"D",M318&gt;=40,"E",TRUE,"F")</f>
        <v>C</v>
      </c>
      <c r="O318">
        <f t="shared" si="14"/>
        <v>32</v>
      </c>
    </row>
    <row r="319" spans="1:15" x14ac:dyDescent="0.35">
      <c r="A319" s="2" t="s">
        <v>312</v>
      </c>
      <c r="B319" s="2" t="s">
        <v>314</v>
      </c>
      <c r="C319" s="2" t="s">
        <v>23</v>
      </c>
      <c r="D319" s="2" t="s">
        <v>247</v>
      </c>
      <c r="E319" s="2" t="s">
        <v>20</v>
      </c>
      <c r="F319" s="2">
        <v>41</v>
      </c>
      <c r="G319" s="2">
        <v>57</v>
      </c>
      <c r="H319" s="2">
        <v>37</v>
      </c>
      <c r="I319" s="2">
        <v>46</v>
      </c>
      <c r="J319" s="2">
        <v>52</v>
      </c>
      <c r="K319" s="2">
        <v>61</v>
      </c>
      <c r="L319">
        <f t="shared" si="12"/>
        <v>294</v>
      </c>
      <c r="M319" s="4">
        <f t="shared" si="13"/>
        <v>49</v>
      </c>
      <c r="N319" t="str" cm="1">
        <f t="array" ref="N319">_xlfn.IFS(M319&gt;=70,"A",M319&gt;=60,"B",M319&gt;=50,"C",M319&gt;=45,"D",M319&gt;=40,"E",TRUE,"F")</f>
        <v>D</v>
      </c>
      <c r="O319">
        <f t="shared" si="14"/>
        <v>35</v>
      </c>
    </row>
    <row r="320" spans="1:15" x14ac:dyDescent="0.35">
      <c r="A320" s="2" t="s">
        <v>315</v>
      </c>
      <c r="B320" s="2" t="s">
        <v>317</v>
      </c>
      <c r="C320" s="2" t="s">
        <v>18</v>
      </c>
      <c r="D320" s="2" t="s">
        <v>247</v>
      </c>
      <c r="E320" s="2" t="s">
        <v>20</v>
      </c>
      <c r="F320" s="2">
        <v>64</v>
      </c>
      <c r="G320" s="2">
        <v>80</v>
      </c>
      <c r="H320" s="2">
        <v>82</v>
      </c>
      <c r="I320" s="2">
        <v>75</v>
      </c>
      <c r="J320" s="2">
        <v>78</v>
      </c>
      <c r="K320" s="2">
        <v>77</v>
      </c>
      <c r="L320">
        <f t="shared" si="12"/>
        <v>456</v>
      </c>
      <c r="M320" s="4">
        <f t="shared" si="13"/>
        <v>76</v>
      </c>
      <c r="N320" t="str" cm="1">
        <f t="array" ref="N320">_xlfn.IFS(M320&gt;=70,"A",M320&gt;=60,"B",M320&gt;=50,"C",M320&gt;=45,"D",M320&gt;=40,"E",TRUE,"F")</f>
        <v>A</v>
      </c>
      <c r="O320">
        <f t="shared" si="14"/>
        <v>11</v>
      </c>
    </row>
    <row r="321" spans="1:15" x14ac:dyDescent="0.35">
      <c r="A321" s="2" t="s">
        <v>315</v>
      </c>
      <c r="B321" s="2" t="s">
        <v>317</v>
      </c>
      <c r="C321" s="2" t="s">
        <v>18</v>
      </c>
      <c r="D321" s="2" t="s">
        <v>247</v>
      </c>
      <c r="E321" s="2" t="s">
        <v>15</v>
      </c>
      <c r="F321" s="2">
        <v>68</v>
      </c>
      <c r="G321" s="2">
        <v>64</v>
      </c>
      <c r="H321" s="2">
        <v>63</v>
      </c>
      <c r="I321" s="2">
        <v>87</v>
      </c>
      <c r="J321" s="2">
        <v>78</v>
      </c>
      <c r="K321" s="2">
        <v>74</v>
      </c>
      <c r="L321">
        <f t="shared" si="12"/>
        <v>434</v>
      </c>
      <c r="M321" s="4">
        <f t="shared" si="13"/>
        <v>72.333333333333329</v>
      </c>
      <c r="N321" t="str" cm="1">
        <f t="array" ref="N321">_xlfn.IFS(M321&gt;=70,"A",M321&gt;=60,"B",M321&gt;=50,"C",M321&gt;=45,"D",M321&gt;=40,"E",TRUE,"F")</f>
        <v>A</v>
      </c>
      <c r="O321">
        <f t="shared" si="14"/>
        <v>9</v>
      </c>
    </row>
    <row r="322" spans="1:15" x14ac:dyDescent="0.35">
      <c r="A322" s="2" t="s">
        <v>315</v>
      </c>
      <c r="B322" s="2" t="s">
        <v>317</v>
      </c>
      <c r="C322" s="2" t="s">
        <v>18</v>
      </c>
      <c r="D322" s="2" t="s">
        <v>247</v>
      </c>
      <c r="E322" s="2" t="s">
        <v>17</v>
      </c>
      <c r="F322" s="2">
        <v>62</v>
      </c>
      <c r="G322" s="2">
        <v>98</v>
      </c>
      <c r="H322" s="2">
        <v>79</v>
      </c>
      <c r="I322" s="2">
        <v>63</v>
      </c>
      <c r="J322" s="2">
        <v>73</v>
      </c>
      <c r="K322" s="2">
        <v>83</v>
      </c>
      <c r="L322">
        <f t="shared" ref="L322:L385" si="15">SUM(F322:K322)</f>
        <v>458</v>
      </c>
      <c r="M322" s="4">
        <f t="shared" ref="M322:M385" si="16">AVERAGE(F322:K322)</f>
        <v>76.333333333333329</v>
      </c>
      <c r="N322" t="str" cm="1">
        <f t="array" ref="N322">_xlfn.IFS(M322&gt;=70,"A",M322&gt;=60,"B",M322&gt;=50,"C",M322&gt;=45,"D",M322&gt;=40,"E",TRUE,"F")</f>
        <v>A</v>
      </c>
      <c r="O322">
        <f t="shared" ref="O322:O385" si="17">COUNTIFS($D$2:$D$721,D322,$E$2:$E$721,E322,$M$2:$M$721,"&gt;"&amp;M322)+1</f>
        <v>9</v>
      </c>
    </row>
    <row r="323" spans="1:15" x14ac:dyDescent="0.35">
      <c r="A323" s="2" t="s">
        <v>318</v>
      </c>
      <c r="B323" s="2" t="s">
        <v>319</v>
      </c>
      <c r="C323" s="2" t="s">
        <v>18</v>
      </c>
      <c r="D323" s="2" t="s">
        <v>247</v>
      </c>
      <c r="E323" s="2" t="s">
        <v>15</v>
      </c>
      <c r="F323" s="2">
        <v>44</v>
      </c>
      <c r="G323" s="2">
        <v>54</v>
      </c>
      <c r="H323" s="2">
        <v>48</v>
      </c>
      <c r="I323" s="2">
        <v>39</v>
      </c>
      <c r="J323" s="2">
        <v>53</v>
      </c>
      <c r="K323" s="2">
        <v>46</v>
      </c>
      <c r="L323">
        <f t="shared" si="15"/>
        <v>284</v>
      </c>
      <c r="M323" s="4">
        <f t="shared" si="16"/>
        <v>47.333333333333336</v>
      </c>
      <c r="N323" t="str" cm="1">
        <f t="array" ref="N323">_xlfn.IFS(M323&gt;=70,"A",M323&gt;=60,"B",M323&gt;=50,"C",M323&gt;=45,"D",M323&gt;=40,"E",TRUE,"F")</f>
        <v>D</v>
      </c>
      <c r="O323">
        <f t="shared" si="17"/>
        <v>33</v>
      </c>
    </row>
    <row r="324" spans="1:15" x14ac:dyDescent="0.35">
      <c r="A324" s="2" t="s">
        <v>318</v>
      </c>
      <c r="B324" s="2" t="s">
        <v>319</v>
      </c>
      <c r="C324" s="2" t="s">
        <v>18</v>
      </c>
      <c r="D324" s="2" t="s">
        <v>247</v>
      </c>
      <c r="E324" s="2" t="s">
        <v>17</v>
      </c>
      <c r="F324" s="2">
        <v>55</v>
      </c>
      <c r="G324" s="2">
        <v>52</v>
      </c>
      <c r="H324" s="2">
        <v>54</v>
      </c>
      <c r="I324" s="2">
        <v>52</v>
      </c>
      <c r="J324" s="2">
        <v>52</v>
      </c>
      <c r="K324" s="2">
        <v>58</v>
      </c>
      <c r="L324">
        <f t="shared" si="15"/>
        <v>323</v>
      </c>
      <c r="M324" s="4">
        <f t="shared" si="16"/>
        <v>53.833333333333336</v>
      </c>
      <c r="N324" t="str" cm="1">
        <f t="array" ref="N324">_xlfn.IFS(M324&gt;=70,"A",M324&gt;=60,"B",M324&gt;=50,"C",M324&gt;=45,"D",M324&gt;=40,"E",TRUE,"F")</f>
        <v>C</v>
      </c>
      <c r="O324">
        <f t="shared" si="17"/>
        <v>29</v>
      </c>
    </row>
    <row r="325" spans="1:15" x14ac:dyDescent="0.35">
      <c r="A325" s="2" t="s">
        <v>318</v>
      </c>
      <c r="B325" s="2" t="s">
        <v>319</v>
      </c>
      <c r="C325" s="2" t="s">
        <v>18</v>
      </c>
      <c r="D325" s="2" t="s">
        <v>247</v>
      </c>
      <c r="E325" s="2" t="s">
        <v>20</v>
      </c>
      <c r="F325" s="2">
        <v>48</v>
      </c>
      <c r="G325" s="2">
        <v>65</v>
      </c>
      <c r="H325" s="2">
        <v>44</v>
      </c>
      <c r="I325" s="2">
        <v>62</v>
      </c>
      <c r="J325" s="2">
        <v>54</v>
      </c>
      <c r="K325" s="2">
        <v>66</v>
      </c>
      <c r="L325">
        <f t="shared" si="15"/>
        <v>339</v>
      </c>
      <c r="M325" s="4">
        <f t="shared" si="16"/>
        <v>56.5</v>
      </c>
      <c r="N325" t="str" cm="1">
        <f t="array" ref="N325">_xlfn.IFS(M325&gt;=70,"A",M325&gt;=60,"B",M325&gt;=50,"C",M325&gt;=45,"D",M325&gt;=40,"E",TRUE,"F")</f>
        <v>C</v>
      </c>
      <c r="O325">
        <f t="shared" si="17"/>
        <v>29</v>
      </c>
    </row>
    <row r="326" spans="1:15" x14ac:dyDescent="0.35">
      <c r="A326" s="2" t="s">
        <v>320</v>
      </c>
      <c r="B326" s="2" t="s">
        <v>321</v>
      </c>
      <c r="C326" s="2" t="s">
        <v>18</v>
      </c>
      <c r="D326" s="2" t="s">
        <v>247</v>
      </c>
      <c r="E326" s="2" t="s">
        <v>20</v>
      </c>
      <c r="F326" s="2">
        <v>56</v>
      </c>
      <c r="G326" s="2">
        <v>61</v>
      </c>
      <c r="H326" s="2">
        <v>70</v>
      </c>
      <c r="I326" s="2">
        <v>77</v>
      </c>
      <c r="J326" s="2">
        <v>81</v>
      </c>
      <c r="K326" s="2">
        <v>71</v>
      </c>
      <c r="L326">
        <f t="shared" si="15"/>
        <v>416</v>
      </c>
      <c r="M326" s="4">
        <f t="shared" si="16"/>
        <v>69.333333333333329</v>
      </c>
      <c r="N326" t="str" cm="1">
        <f t="array" ref="N326">_xlfn.IFS(M326&gt;=70,"A",M326&gt;=60,"B",M326&gt;=50,"C",M326&gt;=45,"D",M326&gt;=40,"E",TRUE,"F")</f>
        <v>B</v>
      </c>
      <c r="O326">
        <f t="shared" si="17"/>
        <v>17</v>
      </c>
    </row>
    <row r="327" spans="1:15" x14ac:dyDescent="0.35">
      <c r="A327" s="2" t="s">
        <v>320</v>
      </c>
      <c r="B327" s="2" t="s">
        <v>321</v>
      </c>
      <c r="C327" s="2" t="s">
        <v>18</v>
      </c>
      <c r="D327" s="2" t="s">
        <v>247</v>
      </c>
      <c r="E327" s="2" t="s">
        <v>15</v>
      </c>
      <c r="F327" s="2">
        <v>47</v>
      </c>
      <c r="G327" s="2">
        <v>75</v>
      </c>
      <c r="H327" s="2">
        <v>62</v>
      </c>
      <c r="I327" s="2">
        <v>60</v>
      </c>
      <c r="J327" s="2">
        <v>75</v>
      </c>
      <c r="K327" s="2">
        <v>71</v>
      </c>
      <c r="L327">
        <f t="shared" si="15"/>
        <v>390</v>
      </c>
      <c r="M327" s="4">
        <f t="shared" si="16"/>
        <v>65</v>
      </c>
      <c r="N327" t="str" cm="1">
        <f t="array" ref="N327">_xlfn.IFS(M327&gt;=70,"A",M327&gt;=60,"B",M327&gt;=50,"C",M327&gt;=45,"D",M327&gt;=40,"E",TRUE,"F")</f>
        <v>B</v>
      </c>
      <c r="O327">
        <f t="shared" si="17"/>
        <v>19</v>
      </c>
    </row>
    <row r="328" spans="1:15" x14ac:dyDescent="0.35">
      <c r="A328" s="2" t="s">
        <v>320</v>
      </c>
      <c r="B328" s="2" t="s">
        <v>321</v>
      </c>
      <c r="C328" s="2" t="s">
        <v>18</v>
      </c>
      <c r="D328" s="2" t="s">
        <v>247</v>
      </c>
      <c r="E328" s="2" t="s">
        <v>17</v>
      </c>
      <c r="F328" s="2">
        <v>62</v>
      </c>
      <c r="G328" s="2">
        <v>75</v>
      </c>
      <c r="H328" s="2">
        <v>57</v>
      </c>
      <c r="I328" s="2">
        <v>64</v>
      </c>
      <c r="J328" s="2">
        <v>71</v>
      </c>
      <c r="K328" s="2">
        <v>76</v>
      </c>
      <c r="L328">
        <f t="shared" si="15"/>
        <v>405</v>
      </c>
      <c r="M328" s="4">
        <f t="shared" si="16"/>
        <v>67.5</v>
      </c>
      <c r="N328" t="str" cm="1">
        <f t="array" ref="N328">_xlfn.IFS(M328&gt;=70,"A",M328&gt;=60,"B",M328&gt;=50,"C",M328&gt;=45,"D",M328&gt;=40,"E",TRUE,"F")</f>
        <v>B</v>
      </c>
      <c r="O328">
        <f t="shared" si="17"/>
        <v>17</v>
      </c>
    </row>
    <row r="329" spans="1:15" x14ac:dyDescent="0.35">
      <c r="A329" s="2" t="s">
        <v>322</v>
      </c>
      <c r="B329" s="2" t="s">
        <v>323</v>
      </c>
      <c r="C329" s="2" t="s">
        <v>18</v>
      </c>
      <c r="D329" s="2" t="s">
        <v>247</v>
      </c>
      <c r="E329" s="2" t="s">
        <v>20</v>
      </c>
      <c r="F329" s="2">
        <v>72</v>
      </c>
      <c r="G329" s="2">
        <v>86</v>
      </c>
      <c r="H329" s="2">
        <v>73</v>
      </c>
      <c r="I329" s="2">
        <v>71</v>
      </c>
      <c r="J329" s="2">
        <v>93</v>
      </c>
      <c r="K329" s="2">
        <v>98</v>
      </c>
      <c r="L329">
        <f t="shared" si="15"/>
        <v>493</v>
      </c>
      <c r="M329" s="4">
        <f t="shared" si="16"/>
        <v>82.166666666666671</v>
      </c>
      <c r="N329" t="str" cm="1">
        <f t="array" ref="N329">_xlfn.IFS(M329&gt;=70,"A",M329&gt;=60,"B",M329&gt;=50,"C",M329&gt;=45,"D",M329&gt;=40,"E",TRUE,"F")</f>
        <v>A</v>
      </c>
      <c r="O329">
        <f t="shared" si="17"/>
        <v>4</v>
      </c>
    </row>
    <row r="330" spans="1:15" x14ac:dyDescent="0.35">
      <c r="A330" s="2" t="s">
        <v>322</v>
      </c>
      <c r="B330" s="2" t="s">
        <v>323</v>
      </c>
      <c r="C330" s="2" t="s">
        <v>18</v>
      </c>
      <c r="D330" s="2" t="s">
        <v>247</v>
      </c>
      <c r="E330" s="2" t="s">
        <v>15</v>
      </c>
      <c r="F330" s="2">
        <v>51</v>
      </c>
      <c r="G330" s="2">
        <v>79</v>
      </c>
      <c r="H330" s="2">
        <v>79</v>
      </c>
      <c r="I330" s="2">
        <v>68</v>
      </c>
      <c r="J330" s="2">
        <v>80</v>
      </c>
      <c r="K330" s="2">
        <v>83</v>
      </c>
      <c r="L330">
        <f t="shared" si="15"/>
        <v>440</v>
      </c>
      <c r="M330" s="4">
        <f t="shared" si="16"/>
        <v>73.333333333333329</v>
      </c>
      <c r="N330" t="str" cm="1">
        <f t="array" ref="N330">_xlfn.IFS(M330&gt;=70,"A",M330&gt;=60,"B",M330&gt;=50,"C",M330&gt;=45,"D",M330&gt;=40,"E",TRUE,"F")</f>
        <v>A</v>
      </c>
      <c r="O330">
        <f t="shared" si="17"/>
        <v>7</v>
      </c>
    </row>
    <row r="331" spans="1:15" x14ac:dyDescent="0.35">
      <c r="A331" s="2" t="s">
        <v>322</v>
      </c>
      <c r="B331" s="2" t="s">
        <v>323</v>
      </c>
      <c r="C331" s="2" t="s">
        <v>18</v>
      </c>
      <c r="D331" s="2" t="s">
        <v>247</v>
      </c>
      <c r="E331" s="2" t="s">
        <v>17</v>
      </c>
      <c r="F331" s="2">
        <v>74</v>
      </c>
      <c r="G331" s="2">
        <v>75</v>
      </c>
      <c r="H331" s="2">
        <v>76</v>
      </c>
      <c r="I331" s="2">
        <v>85</v>
      </c>
      <c r="J331" s="2">
        <v>69</v>
      </c>
      <c r="K331" s="2">
        <v>90</v>
      </c>
      <c r="L331">
        <f t="shared" si="15"/>
        <v>469</v>
      </c>
      <c r="M331" s="4">
        <f t="shared" si="16"/>
        <v>78.166666666666671</v>
      </c>
      <c r="N331" t="str" cm="1">
        <f t="array" ref="N331">_xlfn.IFS(M331&gt;=70,"A",M331&gt;=60,"B",M331&gt;=50,"C",M331&gt;=45,"D",M331&gt;=40,"E",TRUE,"F")</f>
        <v>A</v>
      </c>
      <c r="O331">
        <f t="shared" si="17"/>
        <v>7</v>
      </c>
    </row>
    <row r="332" spans="1:15" x14ac:dyDescent="0.35">
      <c r="A332" s="2" t="s">
        <v>324</v>
      </c>
      <c r="B332" s="2" t="s">
        <v>325</v>
      </c>
      <c r="C332" s="2" t="s">
        <v>18</v>
      </c>
      <c r="D332" s="2" t="s">
        <v>247</v>
      </c>
      <c r="E332" s="2" t="s">
        <v>20</v>
      </c>
      <c r="F332" s="2">
        <v>72</v>
      </c>
      <c r="G332" s="2">
        <v>93</v>
      </c>
      <c r="H332" s="2">
        <v>98</v>
      </c>
      <c r="I332" s="2">
        <v>97</v>
      </c>
      <c r="J332" s="2">
        <v>85</v>
      </c>
      <c r="K332" s="2">
        <v>87</v>
      </c>
      <c r="L332">
        <f t="shared" si="15"/>
        <v>532</v>
      </c>
      <c r="M332" s="4">
        <f t="shared" si="16"/>
        <v>88.666666666666671</v>
      </c>
      <c r="N332" t="str" cm="1">
        <f t="array" ref="N332">_xlfn.IFS(M332&gt;=70,"A",M332&gt;=60,"B",M332&gt;=50,"C",M332&gt;=45,"D",M332&gt;=40,"E",TRUE,"F")</f>
        <v>A</v>
      </c>
      <c r="O332">
        <f t="shared" si="17"/>
        <v>3</v>
      </c>
    </row>
    <row r="333" spans="1:15" x14ac:dyDescent="0.35">
      <c r="A333" s="2" t="s">
        <v>324</v>
      </c>
      <c r="B333" s="2" t="s">
        <v>325</v>
      </c>
      <c r="C333" s="2" t="s">
        <v>18</v>
      </c>
      <c r="D333" s="2" t="s">
        <v>247</v>
      </c>
      <c r="E333" s="2" t="s">
        <v>15</v>
      </c>
      <c r="F333" s="2">
        <v>59</v>
      </c>
      <c r="G333" s="2">
        <v>69</v>
      </c>
      <c r="H333" s="2">
        <v>77</v>
      </c>
      <c r="I333" s="2">
        <v>74</v>
      </c>
      <c r="J333" s="2">
        <v>87</v>
      </c>
      <c r="K333" s="2">
        <v>78</v>
      </c>
      <c r="L333">
        <f t="shared" si="15"/>
        <v>444</v>
      </c>
      <c r="M333" s="4">
        <f t="shared" si="16"/>
        <v>74</v>
      </c>
      <c r="N333" t="str" cm="1">
        <f t="array" ref="N333">_xlfn.IFS(M333&gt;=70,"A",M333&gt;=60,"B",M333&gt;=50,"C",M333&gt;=45,"D",M333&gt;=40,"E",TRUE,"F")</f>
        <v>A</v>
      </c>
      <c r="O333">
        <f t="shared" si="17"/>
        <v>6</v>
      </c>
    </row>
    <row r="334" spans="1:15" x14ac:dyDescent="0.35">
      <c r="A334" s="2" t="s">
        <v>324</v>
      </c>
      <c r="B334" s="2" t="s">
        <v>325</v>
      </c>
      <c r="C334" s="2" t="s">
        <v>18</v>
      </c>
      <c r="D334" s="2" t="s">
        <v>247</v>
      </c>
      <c r="E334" s="2" t="s">
        <v>17</v>
      </c>
      <c r="F334" s="2">
        <v>72</v>
      </c>
      <c r="G334" s="2">
        <v>83</v>
      </c>
      <c r="H334" s="2">
        <v>64</v>
      </c>
      <c r="I334" s="2">
        <v>82</v>
      </c>
      <c r="J334" s="2">
        <v>98</v>
      </c>
      <c r="K334" s="2">
        <v>92</v>
      </c>
      <c r="L334">
        <f t="shared" si="15"/>
        <v>491</v>
      </c>
      <c r="M334" s="4">
        <f t="shared" si="16"/>
        <v>81.833333333333329</v>
      </c>
      <c r="N334" t="str" cm="1">
        <f t="array" ref="N334">_xlfn.IFS(M334&gt;=70,"A",M334&gt;=60,"B",M334&gt;=50,"C",M334&gt;=45,"D",M334&gt;=40,"E",TRUE,"F")</f>
        <v>A</v>
      </c>
      <c r="O334">
        <f t="shared" si="17"/>
        <v>5</v>
      </c>
    </row>
    <row r="335" spans="1:15" x14ac:dyDescent="0.35">
      <c r="A335" s="2" t="s">
        <v>326</v>
      </c>
      <c r="B335" s="2" t="s">
        <v>327</v>
      </c>
      <c r="C335" s="2" t="s">
        <v>23</v>
      </c>
      <c r="D335" s="2" t="s">
        <v>247</v>
      </c>
      <c r="E335" s="2" t="s">
        <v>20</v>
      </c>
      <c r="F335" s="2">
        <v>80</v>
      </c>
      <c r="G335" s="2">
        <v>73</v>
      </c>
      <c r="H335" s="2">
        <v>76</v>
      </c>
      <c r="I335" s="2">
        <v>83</v>
      </c>
      <c r="J335" s="2">
        <v>83</v>
      </c>
      <c r="K335" s="2">
        <v>87</v>
      </c>
      <c r="L335">
        <f t="shared" si="15"/>
        <v>482</v>
      </c>
      <c r="M335" s="4">
        <f t="shared" si="16"/>
        <v>80.333333333333329</v>
      </c>
      <c r="N335" t="str" cm="1">
        <f t="array" ref="N335">_xlfn.IFS(M335&gt;=70,"A",M335&gt;=60,"B",M335&gt;=50,"C",M335&gt;=45,"D",M335&gt;=40,"E",TRUE,"F")</f>
        <v>A</v>
      </c>
      <c r="O335">
        <f t="shared" si="17"/>
        <v>7</v>
      </c>
    </row>
    <row r="336" spans="1:15" x14ac:dyDescent="0.35">
      <c r="A336" s="2" t="s">
        <v>326</v>
      </c>
      <c r="B336" s="2" t="s">
        <v>327</v>
      </c>
      <c r="C336" s="2" t="s">
        <v>23</v>
      </c>
      <c r="D336" s="2" t="s">
        <v>247</v>
      </c>
      <c r="E336" s="2" t="s">
        <v>15</v>
      </c>
      <c r="F336" s="2">
        <v>69</v>
      </c>
      <c r="G336" s="2">
        <v>70</v>
      </c>
      <c r="H336" s="2">
        <v>75</v>
      </c>
      <c r="I336" s="2">
        <v>73</v>
      </c>
      <c r="J336" s="2">
        <v>75</v>
      </c>
      <c r="K336" s="2">
        <v>85</v>
      </c>
      <c r="L336">
        <f t="shared" si="15"/>
        <v>447</v>
      </c>
      <c r="M336" s="4">
        <f t="shared" si="16"/>
        <v>74.5</v>
      </c>
      <c r="N336" t="str" cm="1">
        <f t="array" ref="N336">_xlfn.IFS(M336&gt;=70,"A",M336&gt;=60,"B",M336&gt;=50,"C",M336&gt;=45,"D",M336&gt;=40,"E",TRUE,"F")</f>
        <v>A</v>
      </c>
      <c r="O336">
        <f t="shared" si="17"/>
        <v>5</v>
      </c>
    </row>
    <row r="337" spans="1:15" x14ac:dyDescent="0.35">
      <c r="A337" s="2" t="s">
        <v>326</v>
      </c>
      <c r="B337" s="2" t="s">
        <v>327</v>
      </c>
      <c r="C337" s="2" t="s">
        <v>23</v>
      </c>
      <c r="D337" s="2" t="s">
        <v>247</v>
      </c>
      <c r="E337" s="2" t="s">
        <v>17</v>
      </c>
      <c r="F337" s="2">
        <v>70</v>
      </c>
      <c r="G337" s="2">
        <v>78</v>
      </c>
      <c r="H337" s="2">
        <v>93</v>
      </c>
      <c r="I337" s="2">
        <v>85</v>
      </c>
      <c r="J337" s="2">
        <v>92</v>
      </c>
      <c r="K337" s="2">
        <v>89</v>
      </c>
      <c r="L337">
        <f t="shared" si="15"/>
        <v>507</v>
      </c>
      <c r="M337" s="4">
        <f t="shared" si="16"/>
        <v>84.5</v>
      </c>
      <c r="N337" t="str" cm="1">
        <f t="array" ref="N337">_xlfn.IFS(M337&gt;=70,"A",M337&gt;=60,"B",M337&gt;=50,"C",M337&gt;=45,"D",M337&gt;=40,"E",TRUE,"F")</f>
        <v>A</v>
      </c>
      <c r="O337">
        <f t="shared" si="17"/>
        <v>3</v>
      </c>
    </row>
    <row r="338" spans="1:15" x14ac:dyDescent="0.35">
      <c r="A338" s="2" t="s">
        <v>328</v>
      </c>
      <c r="B338" s="2" t="s">
        <v>329</v>
      </c>
      <c r="C338" s="2" t="s">
        <v>18</v>
      </c>
      <c r="D338" s="2" t="s">
        <v>247</v>
      </c>
      <c r="E338" s="2" t="s">
        <v>20</v>
      </c>
      <c r="F338" s="2">
        <v>66</v>
      </c>
      <c r="G338" s="2">
        <v>64</v>
      </c>
      <c r="H338" s="2">
        <v>57</v>
      </c>
      <c r="I338" s="2">
        <v>59</v>
      </c>
      <c r="J338" s="2">
        <v>73</v>
      </c>
      <c r="K338" s="2">
        <v>58</v>
      </c>
      <c r="L338">
        <f t="shared" si="15"/>
        <v>377</v>
      </c>
      <c r="M338" s="4">
        <f t="shared" si="16"/>
        <v>62.833333333333336</v>
      </c>
      <c r="N338" t="str" cm="1">
        <f t="array" ref="N338">_xlfn.IFS(M338&gt;=70,"A",M338&gt;=60,"B",M338&gt;=50,"C",M338&gt;=45,"D",M338&gt;=40,"E",TRUE,"F")</f>
        <v>B</v>
      </c>
      <c r="O338">
        <f t="shared" si="17"/>
        <v>26</v>
      </c>
    </row>
    <row r="339" spans="1:15" x14ac:dyDescent="0.35">
      <c r="A339" s="2" t="s">
        <v>328</v>
      </c>
      <c r="B339" s="2" t="s">
        <v>329</v>
      </c>
      <c r="C339" s="2" t="s">
        <v>18</v>
      </c>
      <c r="D339" s="2" t="s">
        <v>247</v>
      </c>
      <c r="E339" s="2" t="s">
        <v>15</v>
      </c>
      <c r="F339" s="2">
        <v>39</v>
      </c>
      <c r="G339" s="2">
        <v>42</v>
      </c>
      <c r="H339" s="2">
        <v>47</v>
      </c>
      <c r="I339" s="2">
        <v>45</v>
      </c>
      <c r="J339" s="2">
        <v>55</v>
      </c>
      <c r="K339" s="2">
        <v>50</v>
      </c>
      <c r="L339">
        <f t="shared" si="15"/>
        <v>278</v>
      </c>
      <c r="M339" s="4">
        <f t="shared" si="16"/>
        <v>46.333333333333336</v>
      </c>
      <c r="N339" t="str" cm="1">
        <f t="array" ref="N339">_xlfn.IFS(M339&gt;=70,"A",M339&gt;=60,"B",M339&gt;=50,"C",M339&gt;=45,"D",M339&gt;=40,"E",TRUE,"F")</f>
        <v>D</v>
      </c>
      <c r="O339">
        <f t="shared" si="17"/>
        <v>34</v>
      </c>
    </row>
    <row r="340" spans="1:15" x14ac:dyDescent="0.35">
      <c r="A340" s="2" t="s">
        <v>328</v>
      </c>
      <c r="B340" s="2" t="s">
        <v>329</v>
      </c>
      <c r="C340" s="2" t="s">
        <v>18</v>
      </c>
      <c r="D340" s="2" t="s">
        <v>247</v>
      </c>
      <c r="E340" s="2" t="s">
        <v>17</v>
      </c>
      <c r="F340" s="2">
        <v>44</v>
      </c>
      <c r="G340" s="2">
        <v>46</v>
      </c>
      <c r="H340" s="2">
        <v>47</v>
      </c>
      <c r="I340" s="2">
        <v>56</v>
      </c>
      <c r="J340" s="2">
        <v>67</v>
      </c>
      <c r="K340" s="2">
        <v>52</v>
      </c>
      <c r="L340">
        <f t="shared" si="15"/>
        <v>312</v>
      </c>
      <c r="M340" s="4">
        <f t="shared" si="16"/>
        <v>52</v>
      </c>
      <c r="N340" t="str" cm="1">
        <f t="array" ref="N340">_xlfn.IFS(M340&gt;=70,"A",M340&gt;=60,"B",M340&gt;=50,"C",M340&gt;=45,"D",M340&gt;=40,"E",TRUE,"F")</f>
        <v>C</v>
      </c>
      <c r="O340">
        <f t="shared" si="17"/>
        <v>35</v>
      </c>
    </row>
    <row r="341" spans="1:15" x14ac:dyDescent="0.35">
      <c r="A341" s="2" t="s">
        <v>331</v>
      </c>
      <c r="B341" s="2" t="s">
        <v>332</v>
      </c>
      <c r="C341" s="2" t="s">
        <v>23</v>
      </c>
      <c r="D341" s="2" t="s">
        <v>247</v>
      </c>
      <c r="E341" s="2" t="s">
        <v>15</v>
      </c>
      <c r="F341" s="2">
        <v>43</v>
      </c>
      <c r="G341" s="2">
        <v>49</v>
      </c>
      <c r="H341" s="2">
        <v>49</v>
      </c>
      <c r="I341" s="2">
        <v>59</v>
      </c>
      <c r="J341" s="2">
        <v>52</v>
      </c>
      <c r="K341" s="2">
        <v>59</v>
      </c>
      <c r="L341">
        <f t="shared" si="15"/>
        <v>311</v>
      </c>
      <c r="M341" s="4">
        <f t="shared" si="16"/>
        <v>51.833333333333336</v>
      </c>
      <c r="N341" t="str" cm="1">
        <f t="array" ref="N341">_xlfn.IFS(M341&gt;=70,"A",M341&gt;=60,"B",M341&gt;=50,"C",M341&gt;=45,"D",M341&gt;=40,"E",TRUE,"F")</f>
        <v>C</v>
      </c>
      <c r="O341">
        <f t="shared" si="17"/>
        <v>30</v>
      </c>
    </row>
    <row r="342" spans="1:15" x14ac:dyDescent="0.35">
      <c r="A342" s="2" t="s">
        <v>331</v>
      </c>
      <c r="B342" s="2" t="s">
        <v>332</v>
      </c>
      <c r="C342" s="2" t="s">
        <v>23</v>
      </c>
      <c r="D342" s="2" t="s">
        <v>247</v>
      </c>
      <c r="E342" s="2" t="s">
        <v>17</v>
      </c>
      <c r="F342" s="2">
        <v>39</v>
      </c>
      <c r="G342" s="2">
        <v>54</v>
      </c>
      <c r="H342" s="2">
        <v>56</v>
      </c>
      <c r="I342" s="2">
        <v>54</v>
      </c>
      <c r="J342" s="2">
        <v>60</v>
      </c>
      <c r="K342" s="2">
        <v>60</v>
      </c>
      <c r="L342">
        <f t="shared" si="15"/>
        <v>323</v>
      </c>
      <c r="M342" s="4">
        <f t="shared" si="16"/>
        <v>53.833333333333336</v>
      </c>
      <c r="N342" t="str" cm="1">
        <f t="array" ref="N342">_xlfn.IFS(M342&gt;=70,"A",M342&gt;=60,"B",M342&gt;=50,"C",M342&gt;=45,"D",M342&gt;=40,"E",TRUE,"F")</f>
        <v>C</v>
      </c>
      <c r="O342">
        <f t="shared" si="17"/>
        <v>29</v>
      </c>
    </row>
    <row r="343" spans="1:15" x14ac:dyDescent="0.35">
      <c r="A343" s="2" t="s">
        <v>331</v>
      </c>
      <c r="B343" s="2" t="s">
        <v>332</v>
      </c>
      <c r="C343" s="2" t="s">
        <v>23</v>
      </c>
      <c r="D343" s="2" t="s">
        <v>247</v>
      </c>
      <c r="E343" s="2" t="s">
        <v>20</v>
      </c>
      <c r="F343" s="2">
        <v>46</v>
      </c>
      <c r="G343" s="2">
        <v>54</v>
      </c>
      <c r="H343" s="2">
        <v>51</v>
      </c>
      <c r="I343" s="2">
        <v>44</v>
      </c>
      <c r="J343" s="2">
        <v>48</v>
      </c>
      <c r="K343" s="2">
        <v>64</v>
      </c>
      <c r="L343">
        <f t="shared" si="15"/>
        <v>307</v>
      </c>
      <c r="M343" s="4">
        <f t="shared" si="16"/>
        <v>51.166666666666664</v>
      </c>
      <c r="N343" t="str" cm="1">
        <f t="array" ref="N343">_xlfn.IFS(M343&gt;=70,"A",M343&gt;=60,"B",M343&gt;=50,"C",M343&gt;=45,"D",M343&gt;=40,"E",TRUE,"F")</f>
        <v>C</v>
      </c>
      <c r="O343">
        <f t="shared" si="17"/>
        <v>34</v>
      </c>
    </row>
    <row r="344" spans="1:15" x14ac:dyDescent="0.35">
      <c r="A344" s="2" t="s">
        <v>334</v>
      </c>
      <c r="B344" s="2" t="s">
        <v>335</v>
      </c>
      <c r="C344" s="2" t="s">
        <v>23</v>
      </c>
      <c r="D344" s="2" t="s">
        <v>247</v>
      </c>
      <c r="E344" s="2" t="s">
        <v>20</v>
      </c>
      <c r="F344" s="2">
        <v>50</v>
      </c>
      <c r="G344" s="2">
        <v>44</v>
      </c>
      <c r="H344" s="2">
        <v>61</v>
      </c>
      <c r="I344" s="2">
        <v>63</v>
      </c>
      <c r="J344" s="2">
        <v>57</v>
      </c>
      <c r="K344" s="2">
        <v>60</v>
      </c>
      <c r="L344">
        <f t="shared" si="15"/>
        <v>335</v>
      </c>
      <c r="M344" s="4">
        <f t="shared" si="16"/>
        <v>55.833333333333336</v>
      </c>
      <c r="N344" t="str" cm="1">
        <f t="array" ref="N344">_xlfn.IFS(M344&gt;=70,"A",M344&gt;=60,"B",M344&gt;=50,"C",M344&gt;=45,"D",M344&gt;=40,"E",TRUE,"F")</f>
        <v>C</v>
      </c>
      <c r="O344">
        <f t="shared" si="17"/>
        <v>30</v>
      </c>
    </row>
    <row r="345" spans="1:15" x14ac:dyDescent="0.35">
      <c r="A345" s="2" t="s">
        <v>334</v>
      </c>
      <c r="B345" s="2" t="s">
        <v>335</v>
      </c>
      <c r="C345" s="2" t="s">
        <v>23</v>
      </c>
      <c r="D345" s="2" t="s">
        <v>247</v>
      </c>
      <c r="E345" s="2" t="s">
        <v>15</v>
      </c>
      <c r="F345" s="2">
        <v>29</v>
      </c>
      <c r="G345" s="2">
        <v>58</v>
      </c>
      <c r="H345" s="2">
        <v>38</v>
      </c>
      <c r="I345" s="2">
        <v>53</v>
      </c>
      <c r="J345" s="2">
        <v>57</v>
      </c>
      <c r="K345" s="2">
        <v>52</v>
      </c>
      <c r="L345">
        <f t="shared" si="15"/>
        <v>287</v>
      </c>
      <c r="M345" s="4">
        <f t="shared" si="16"/>
        <v>47.833333333333336</v>
      </c>
      <c r="N345" t="str" cm="1">
        <f t="array" ref="N345">_xlfn.IFS(M345&gt;=70,"A",M345&gt;=60,"B",M345&gt;=50,"C",M345&gt;=45,"D",M345&gt;=40,"E",TRUE,"F")</f>
        <v>D</v>
      </c>
      <c r="O345">
        <f t="shared" si="17"/>
        <v>32</v>
      </c>
    </row>
    <row r="346" spans="1:15" x14ac:dyDescent="0.35">
      <c r="A346" s="2" t="s">
        <v>334</v>
      </c>
      <c r="B346" s="2" t="s">
        <v>335</v>
      </c>
      <c r="C346" s="2" t="s">
        <v>23</v>
      </c>
      <c r="D346" s="2" t="s">
        <v>247</v>
      </c>
      <c r="E346" s="2" t="s">
        <v>17</v>
      </c>
      <c r="F346" s="2">
        <v>54</v>
      </c>
      <c r="G346" s="2">
        <v>42</v>
      </c>
      <c r="H346" s="2">
        <v>56</v>
      </c>
      <c r="I346" s="2">
        <v>55</v>
      </c>
      <c r="J346" s="2">
        <v>54</v>
      </c>
      <c r="K346" s="2">
        <v>64</v>
      </c>
      <c r="L346">
        <f t="shared" si="15"/>
        <v>325</v>
      </c>
      <c r="M346" s="4">
        <f t="shared" si="16"/>
        <v>54.166666666666664</v>
      </c>
      <c r="N346" t="str" cm="1">
        <f t="array" ref="N346">_xlfn.IFS(M346&gt;=70,"A",M346&gt;=60,"B",M346&gt;=50,"C",M346&gt;=45,"D",M346&gt;=40,"E",TRUE,"F")</f>
        <v>C</v>
      </c>
      <c r="O346">
        <f t="shared" si="17"/>
        <v>28</v>
      </c>
    </row>
    <row r="347" spans="1:15" x14ac:dyDescent="0.35">
      <c r="A347" s="2" t="s">
        <v>336</v>
      </c>
      <c r="B347" s="2" t="s">
        <v>337</v>
      </c>
      <c r="C347" s="2" t="s">
        <v>18</v>
      </c>
      <c r="D347" s="2" t="s">
        <v>247</v>
      </c>
      <c r="E347" s="2" t="s">
        <v>20</v>
      </c>
      <c r="F347" s="2">
        <v>46</v>
      </c>
      <c r="G347" s="2">
        <v>68</v>
      </c>
      <c r="H347" s="2">
        <v>63</v>
      </c>
      <c r="I347" s="2">
        <v>70</v>
      </c>
      <c r="J347" s="2">
        <v>72</v>
      </c>
      <c r="K347" s="2">
        <v>80</v>
      </c>
      <c r="L347">
        <f t="shared" si="15"/>
        <v>399</v>
      </c>
      <c r="M347" s="4">
        <f t="shared" si="16"/>
        <v>66.5</v>
      </c>
      <c r="N347" t="str" cm="1">
        <f t="array" ref="N347">_xlfn.IFS(M347&gt;=70,"A",M347&gt;=60,"B",M347&gt;=50,"C",M347&gt;=45,"D",M347&gt;=40,"E",TRUE,"F")</f>
        <v>B</v>
      </c>
      <c r="O347">
        <f t="shared" si="17"/>
        <v>19</v>
      </c>
    </row>
    <row r="348" spans="1:15" x14ac:dyDescent="0.35">
      <c r="A348" s="2" t="s">
        <v>336</v>
      </c>
      <c r="B348" s="2" t="s">
        <v>337</v>
      </c>
      <c r="C348" s="2" t="s">
        <v>18</v>
      </c>
      <c r="D348" s="2" t="s">
        <v>247</v>
      </c>
      <c r="E348" s="2" t="s">
        <v>15</v>
      </c>
      <c r="F348" s="2">
        <v>65</v>
      </c>
      <c r="G348" s="2">
        <v>73</v>
      </c>
      <c r="H348" s="2">
        <v>64</v>
      </c>
      <c r="I348" s="2">
        <v>56</v>
      </c>
      <c r="J348" s="2">
        <v>66</v>
      </c>
      <c r="K348" s="2">
        <v>73</v>
      </c>
      <c r="L348">
        <f t="shared" si="15"/>
        <v>397</v>
      </c>
      <c r="M348" s="4">
        <f t="shared" si="16"/>
        <v>66.166666666666671</v>
      </c>
      <c r="N348" t="str" cm="1">
        <f t="array" ref="N348">_xlfn.IFS(M348&gt;=70,"A",M348&gt;=60,"B",M348&gt;=50,"C",M348&gt;=45,"D",M348&gt;=40,"E",TRUE,"F")</f>
        <v>B</v>
      </c>
      <c r="O348">
        <f t="shared" si="17"/>
        <v>15</v>
      </c>
    </row>
    <row r="349" spans="1:15" x14ac:dyDescent="0.35">
      <c r="A349" s="2" t="s">
        <v>336</v>
      </c>
      <c r="B349" s="2" t="s">
        <v>337</v>
      </c>
      <c r="C349" s="2" t="s">
        <v>18</v>
      </c>
      <c r="D349" s="2" t="s">
        <v>247</v>
      </c>
      <c r="E349" s="2" t="s">
        <v>17</v>
      </c>
      <c r="F349" s="2">
        <v>52</v>
      </c>
      <c r="G349" s="2">
        <v>56</v>
      </c>
      <c r="H349" s="2">
        <v>62</v>
      </c>
      <c r="I349" s="2">
        <v>68</v>
      </c>
      <c r="J349" s="2">
        <v>71</v>
      </c>
      <c r="K349" s="2">
        <v>79</v>
      </c>
      <c r="L349">
        <f t="shared" si="15"/>
        <v>388</v>
      </c>
      <c r="M349" s="4">
        <f t="shared" si="16"/>
        <v>64.666666666666671</v>
      </c>
      <c r="N349" t="str" cm="1">
        <f t="array" ref="N349">_xlfn.IFS(M349&gt;=70,"A",M349&gt;=60,"B",M349&gt;=50,"C",M349&gt;=45,"D",M349&gt;=40,"E",TRUE,"F")</f>
        <v>B</v>
      </c>
      <c r="O349">
        <f t="shared" si="17"/>
        <v>21</v>
      </c>
    </row>
    <row r="350" spans="1:15" x14ac:dyDescent="0.35">
      <c r="A350" s="2" t="s">
        <v>339</v>
      </c>
      <c r="B350" s="2" t="s">
        <v>340</v>
      </c>
      <c r="C350" s="2" t="s">
        <v>23</v>
      </c>
      <c r="D350" s="2" t="s">
        <v>247</v>
      </c>
      <c r="E350" s="2" t="s">
        <v>20</v>
      </c>
      <c r="F350" s="2">
        <v>63</v>
      </c>
      <c r="G350" s="2">
        <v>93</v>
      </c>
      <c r="H350" s="2">
        <v>73</v>
      </c>
      <c r="I350" s="2">
        <v>79</v>
      </c>
      <c r="J350" s="2">
        <v>94</v>
      </c>
      <c r="K350" s="2">
        <v>81</v>
      </c>
      <c r="L350">
        <f t="shared" si="15"/>
        <v>483</v>
      </c>
      <c r="M350" s="4">
        <f t="shared" si="16"/>
        <v>80.5</v>
      </c>
      <c r="N350" t="str" cm="1">
        <f t="array" ref="N350">_xlfn.IFS(M350&gt;=70,"A",M350&gt;=60,"B",M350&gt;=50,"C",M350&gt;=45,"D",M350&gt;=40,"E",TRUE,"F")</f>
        <v>A</v>
      </c>
      <c r="O350">
        <f t="shared" si="17"/>
        <v>6</v>
      </c>
    </row>
    <row r="351" spans="1:15" x14ac:dyDescent="0.35">
      <c r="A351" s="2" t="s">
        <v>339</v>
      </c>
      <c r="B351" s="2" t="s">
        <v>340</v>
      </c>
      <c r="C351" s="2" t="s">
        <v>23</v>
      </c>
      <c r="D351" s="2" t="s">
        <v>247</v>
      </c>
      <c r="E351" s="2" t="s">
        <v>15</v>
      </c>
      <c r="F351" s="2">
        <v>64</v>
      </c>
      <c r="G351" s="2">
        <v>66</v>
      </c>
      <c r="H351" s="2">
        <v>65</v>
      </c>
      <c r="I351" s="2">
        <v>70</v>
      </c>
      <c r="J351" s="2">
        <v>70</v>
      </c>
      <c r="K351" s="2">
        <v>82</v>
      </c>
      <c r="L351">
        <f t="shared" si="15"/>
        <v>417</v>
      </c>
      <c r="M351" s="4">
        <f t="shared" si="16"/>
        <v>69.5</v>
      </c>
      <c r="N351" t="str" cm="1">
        <f t="array" ref="N351">_xlfn.IFS(M351&gt;=70,"A",M351&gt;=60,"B",M351&gt;=50,"C",M351&gt;=45,"D",M351&gt;=40,"E",TRUE,"F")</f>
        <v>B</v>
      </c>
      <c r="O351">
        <f t="shared" si="17"/>
        <v>12</v>
      </c>
    </row>
    <row r="352" spans="1:15" x14ac:dyDescent="0.35">
      <c r="A352" s="2" t="s">
        <v>339</v>
      </c>
      <c r="B352" s="2" t="s">
        <v>340</v>
      </c>
      <c r="C352" s="2" t="s">
        <v>23</v>
      </c>
      <c r="D352" s="2" t="s">
        <v>247</v>
      </c>
      <c r="E352" s="2" t="s">
        <v>17</v>
      </c>
      <c r="F352" s="2">
        <v>55</v>
      </c>
      <c r="G352" s="2">
        <v>65</v>
      </c>
      <c r="H352" s="2">
        <v>84</v>
      </c>
      <c r="I352" s="2">
        <v>82</v>
      </c>
      <c r="J352" s="2">
        <v>83</v>
      </c>
      <c r="K352" s="2">
        <v>89</v>
      </c>
      <c r="L352">
        <f t="shared" si="15"/>
        <v>458</v>
      </c>
      <c r="M352" s="4">
        <f t="shared" si="16"/>
        <v>76.333333333333329</v>
      </c>
      <c r="N352" t="str" cm="1">
        <f t="array" ref="N352">_xlfn.IFS(M352&gt;=70,"A",M352&gt;=60,"B",M352&gt;=50,"C",M352&gt;=45,"D",M352&gt;=40,"E",TRUE,"F")</f>
        <v>A</v>
      </c>
      <c r="O352">
        <f t="shared" si="17"/>
        <v>9</v>
      </c>
    </row>
    <row r="353" spans="1:15" x14ac:dyDescent="0.35">
      <c r="A353" s="2" t="s">
        <v>342</v>
      </c>
      <c r="B353" s="2" t="s">
        <v>344</v>
      </c>
      <c r="C353" s="2" t="s">
        <v>23</v>
      </c>
      <c r="D353" s="2" t="s">
        <v>247</v>
      </c>
      <c r="E353" s="2" t="s">
        <v>20</v>
      </c>
      <c r="F353" s="2">
        <v>39</v>
      </c>
      <c r="G353" s="2">
        <v>47</v>
      </c>
      <c r="H353" s="2">
        <v>52</v>
      </c>
      <c r="I353" s="2">
        <v>50</v>
      </c>
      <c r="J353" s="2">
        <v>65</v>
      </c>
      <c r="K353" s="2">
        <v>66</v>
      </c>
      <c r="L353">
        <f t="shared" si="15"/>
        <v>319</v>
      </c>
      <c r="M353" s="4">
        <f t="shared" si="16"/>
        <v>53.166666666666664</v>
      </c>
      <c r="N353" t="str" cm="1">
        <f t="array" ref="N353">_xlfn.IFS(M353&gt;=70,"A",M353&gt;=60,"B",M353&gt;=50,"C",M353&gt;=45,"D",M353&gt;=40,"E",TRUE,"F")</f>
        <v>C</v>
      </c>
      <c r="O353">
        <f t="shared" si="17"/>
        <v>33</v>
      </c>
    </row>
    <row r="354" spans="1:15" x14ac:dyDescent="0.35">
      <c r="A354" s="2" t="s">
        <v>342</v>
      </c>
      <c r="B354" s="2" t="s">
        <v>344</v>
      </c>
      <c r="C354" s="2" t="s">
        <v>23</v>
      </c>
      <c r="D354" s="2" t="s">
        <v>247</v>
      </c>
      <c r="E354" s="2" t="s">
        <v>15</v>
      </c>
      <c r="F354" s="2">
        <v>55</v>
      </c>
      <c r="G354" s="2">
        <v>67</v>
      </c>
      <c r="H354" s="2">
        <v>51</v>
      </c>
      <c r="I354" s="2">
        <v>56</v>
      </c>
      <c r="J354" s="2">
        <v>66</v>
      </c>
      <c r="K354" s="2">
        <v>69</v>
      </c>
      <c r="L354">
        <f t="shared" si="15"/>
        <v>364</v>
      </c>
      <c r="M354" s="4">
        <f t="shared" si="16"/>
        <v>60.666666666666664</v>
      </c>
      <c r="N354" t="str" cm="1">
        <f t="array" ref="N354">_xlfn.IFS(M354&gt;=70,"A",M354&gt;=60,"B",M354&gt;=50,"C",M354&gt;=45,"D",M354&gt;=40,"E",TRUE,"F")</f>
        <v>B</v>
      </c>
      <c r="O354">
        <f t="shared" si="17"/>
        <v>22</v>
      </c>
    </row>
    <row r="355" spans="1:15" x14ac:dyDescent="0.35">
      <c r="A355" s="2" t="s">
        <v>342</v>
      </c>
      <c r="B355" s="2" t="s">
        <v>344</v>
      </c>
      <c r="C355" s="2" t="s">
        <v>23</v>
      </c>
      <c r="D355" s="2" t="s">
        <v>247</v>
      </c>
      <c r="E355" s="2" t="s">
        <v>17</v>
      </c>
      <c r="F355" s="2">
        <v>51</v>
      </c>
      <c r="G355" s="2">
        <v>44</v>
      </c>
      <c r="H355" s="2">
        <v>64</v>
      </c>
      <c r="I355" s="2">
        <v>62</v>
      </c>
      <c r="J355" s="2">
        <v>42</v>
      </c>
      <c r="K355" s="2">
        <v>54</v>
      </c>
      <c r="L355">
        <f t="shared" si="15"/>
        <v>317</v>
      </c>
      <c r="M355" s="4">
        <f t="shared" si="16"/>
        <v>52.833333333333336</v>
      </c>
      <c r="N355" t="str" cm="1">
        <f t="array" ref="N355">_xlfn.IFS(M355&gt;=70,"A",M355&gt;=60,"B",M355&gt;=50,"C",M355&gt;=45,"D",M355&gt;=40,"E",TRUE,"F")</f>
        <v>C</v>
      </c>
      <c r="O355">
        <f t="shared" si="17"/>
        <v>33</v>
      </c>
    </row>
    <row r="356" spans="1:15" x14ac:dyDescent="0.35">
      <c r="A356" s="2" t="s">
        <v>345</v>
      </c>
      <c r="B356" s="2" t="s">
        <v>346</v>
      </c>
      <c r="C356" s="2" t="s">
        <v>23</v>
      </c>
      <c r="D356" s="2" t="s">
        <v>247</v>
      </c>
      <c r="E356" s="2" t="s">
        <v>20</v>
      </c>
      <c r="F356" s="2">
        <v>36</v>
      </c>
      <c r="G356" s="2">
        <v>38</v>
      </c>
      <c r="H356" s="2">
        <v>31</v>
      </c>
      <c r="I356" s="2">
        <v>49</v>
      </c>
      <c r="J356" s="2">
        <v>51</v>
      </c>
      <c r="K356" s="2">
        <v>54</v>
      </c>
      <c r="L356">
        <f t="shared" si="15"/>
        <v>259</v>
      </c>
      <c r="M356" s="4">
        <f t="shared" si="16"/>
        <v>43.166666666666664</v>
      </c>
      <c r="N356" t="str" cm="1">
        <f t="array" ref="N356">_xlfn.IFS(M356&gt;=70,"A",M356&gt;=60,"B",M356&gt;=50,"C",M356&gt;=45,"D",M356&gt;=40,"E",TRUE,"F")</f>
        <v>E</v>
      </c>
      <c r="O356">
        <f t="shared" si="17"/>
        <v>38</v>
      </c>
    </row>
    <row r="357" spans="1:15" x14ac:dyDescent="0.35">
      <c r="A357" s="2" t="s">
        <v>345</v>
      </c>
      <c r="B357" s="2" t="s">
        <v>346</v>
      </c>
      <c r="C357" s="2" t="s">
        <v>23</v>
      </c>
      <c r="D357" s="2" t="s">
        <v>247</v>
      </c>
      <c r="E357" s="2" t="s">
        <v>15</v>
      </c>
      <c r="F357" s="2">
        <v>39</v>
      </c>
      <c r="G357" s="2">
        <v>37</v>
      </c>
      <c r="H357" s="2">
        <v>42</v>
      </c>
      <c r="I357" s="2">
        <v>50</v>
      </c>
      <c r="J357" s="2">
        <v>56</v>
      </c>
      <c r="K357" s="2">
        <v>47</v>
      </c>
      <c r="L357">
        <f t="shared" si="15"/>
        <v>271</v>
      </c>
      <c r="M357" s="4">
        <f t="shared" si="16"/>
        <v>45.166666666666664</v>
      </c>
      <c r="N357" t="str" cm="1">
        <f t="array" ref="N357">_xlfn.IFS(M357&gt;=70,"A",M357&gt;=60,"B",M357&gt;=50,"C",M357&gt;=45,"D",M357&gt;=40,"E",TRUE,"F")</f>
        <v>D</v>
      </c>
      <c r="O357">
        <f t="shared" si="17"/>
        <v>35</v>
      </c>
    </row>
    <row r="358" spans="1:15" x14ac:dyDescent="0.35">
      <c r="A358" s="2" t="s">
        <v>345</v>
      </c>
      <c r="B358" s="2" t="s">
        <v>346</v>
      </c>
      <c r="C358" s="2" t="s">
        <v>23</v>
      </c>
      <c r="D358" s="2" t="s">
        <v>247</v>
      </c>
      <c r="E358" s="2" t="s">
        <v>17</v>
      </c>
      <c r="F358" s="2">
        <v>39</v>
      </c>
      <c r="G358" s="2">
        <v>37</v>
      </c>
      <c r="H358" s="2">
        <v>39</v>
      </c>
      <c r="I358" s="2">
        <v>55</v>
      </c>
      <c r="J358" s="2">
        <v>59</v>
      </c>
      <c r="K358" s="2">
        <v>48</v>
      </c>
      <c r="L358">
        <f t="shared" si="15"/>
        <v>277</v>
      </c>
      <c r="M358" s="4">
        <f t="shared" si="16"/>
        <v>46.166666666666664</v>
      </c>
      <c r="N358" t="str" cm="1">
        <f t="array" ref="N358">_xlfn.IFS(M358&gt;=70,"A",M358&gt;=60,"B",M358&gt;=50,"C",M358&gt;=45,"D",M358&gt;=40,"E",TRUE,"F")</f>
        <v>D</v>
      </c>
      <c r="O358">
        <f t="shared" si="17"/>
        <v>38</v>
      </c>
    </row>
    <row r="359" spans="1:15" x14ac:dyDescent="0.35">
      <c r="A359" s="2" t="s">
        <v>347</v>
      </c>
      <c r="B359" s="2" t="s">
        <v>348</v>
      </c>
      <c r="C359" s="2" t="s">
        <v>18</v>
      </c>
      <c r="D359" s="2" t="s">
        <v>247</v>
      </c>
      <c r="E359" s="2" t="s">
        <v>20</v>
      </c>
      <c r="F359" s="2">
        <v>47</v>
      </c>
      <c r="G359" s="2">
        <v>40</v>
      </c>
      <c r="H359" s="2">
        <v>41</v>
      </c>
      <c r="I359" s="2">
        <v>58</v>
      </c>
      <c r="J359" s="2">
        <v>51</v>
      </c>
      <c r="K359" s="2">
        <v>46</v>
      </c>
      <c r="L359">
        <f t="shared" si="15"/>
        <v>283</v>
      </c>
      <c r="M359" s="4">
        <f t="shared" si="16"/>
        <v>47.166666666666664</v>
      </c>
      <c r="N359" t="str" cm="1">
        <f t="array" ref="N359">_xlfn.IFS(M359&gt;=70,"A",M359&gt;=60,"B",M359&gt;=50,"C",M359&gt;=45,"D",M359&gt;=40,"E",TRUE,"F")</f>
        <v>D</v>
      </c>
      <c r="O359">
        <f t="shared" si="17"/>
        <v>37</v>
      </c>
    </row>
    <row r="360" spans="1:15" x14ac:dyDescent="0.35">
      <c r="A360" s="2" t="s">
        <v>347</v>
      </c>
      <c r="B360" s="2" t="s">
        <v>348</v>
      </c>
      <c r="C360" s="2" t="s">
        <v>18</v>
      </c>
      <c r="D360" s="2" t="s">
        <v>247</v>
      </c>
      <c r="E360" s="2" t="s">
        <v>15</v>
      </c>
      <c r="F360" s="2">
        <v>33</v>
      </c>
      <c r="G360" s="2">
        <v>42</v>
      </c>
      <c r="H360" s="2">
        <v>38</v>
      </c>
      <c r="I360" s="2">
        <v>50</v>
      </c>
      <c r="J360" s="2">
        <v>45</v>
      </c>
      <c r="K360" s="2">
        <v>55</v>
      </c>
      <c r="L360">
        <f t="shared" si="15"/>
        <v>263</v>
      </c>
      <c r="M360" s="4">
        <f t="shared" si="16"/>
        <v>43.833333333333336</v>
      </c>
      <c r="N360" t="str" cm="1">
        <f t="array" ref="N360">_xlfn.IFS(M360&gt;=70,"A",M360&gt;=60,"B",M360&gt;=50,"C",M360&gt;=45,"D",M360&gt;=40,"E",TRUE,"F")</f>
        <v>E</v>
      </c>
      <c r="O360">
        <f t="shared" si="17"/>
        <v>37</v>
      </c>
    </row>
    <row r="361" spans="1:15" x14ac:dyDescent="0.35">
      <c r="A361" s="2" t="s">
        <v>347</v>
      </c>
      <c r="B361" s="2" t="s">
        <v>348</v>
      </c>
      <c r="C361" s="2" t="s">
        <v>18</v>
      </c>
      <c r="D361" s="2" t="s">
        <v>247</v>
      </c>
      <c r="E361" s="2" t="s">
        <v>17</v>
      </c>
      <c r="F361" s="2">
        <v>45</v>
      </c>
      <c r="G361" s="2">
        <v>46</v>
      </c>
      <c r="H361" s="2">
        <v>33</v>
      </c>
      <c r="I361" s="2">
        <v>50</v>
      </c>
      <c r="J361" s="2">
        <v>50</v>
      </c>
      <c r="K361" s="2">
        <v>63</v>
      </c>
      <c r="L361">
        <f t="shared" si="15"/>
        <v>287</v>
      </c>
      <c r="M361" s="4">
        <f t="shared" si="16"/>
        <v>47.833333333333336</v>
      </c>
      <c r="N361" t="str" cm="1">
        <f t="array" ref="N361">_xlfn.IFS(M361&gt;=70,"A",M361&gt;=60,"B",M361&gt;=50,"C",M361&gt;=45,"D",M361&gt;=40,"E",TRUE,"F")</f>
        <v>D</v>
      </c>
      <c r="O361">
        <f t="shared" si="17"/>
        <v>36</v>
      </c>
    </row>
    <row r="362" spans="1:15" x14ac:dyDescent="0.35">
      <c r="A362" s="2" t="s">
        <v>349</v>
      </c>
      <c r="B362" s="2" t="s">
        <v>350</v>
      </c>
      <c r="C362" s="2" t="s">
        <v>23</v>
      </c>
      <c r="D362" s="2" t="s">
        <v>351</v>
      </c>
      <c r="E362" s="2" t="s">
        <v>15</v>
      </c>
      <c r="F362" s="2">
        <v>50</v>
      </c>
      <c r="G362" s="2">
        <v>56</v>
      </c>
      <c r="H362" s="2">
        <v>50</v>
      </c>
      <c r="I362" s="2">
        <v>62</v>
      </c>
      <c r="J362" s="2">
        <v>56</v>
      </c>
      <c r="K362" s="2">
        <v>72</v>
      </c>
      <c r="L362">
        <f t="shared" si="15"/>
        <v>346</v>
      </c>
      <c r="M362" s="4">
        <f t="shared" si="16"/>
        <v>57.666666666666664</v>
      </c>
      <c r="N362" t="str" cm="1">
        <f t="array" ref="N362">_xlfn.IFS(M362&gt;=70,"A",M362&gt;=60,"B",M362&gt;=50,"C",M362&gt;=45,"D",M362&gt;=40,"E",TRUE,"F")</f>
        <v>C</v>
      </c>
      <c r="O362">
        <f t="shared" si="17"/>
        <v>26</v>
      </c>
    </row>
    <row r="363" spans="1:15" x14ac:dyDescent="0.35">
      <c r="A363" s="2" t="s">
        <v>349</v>
      </c>
      <c r="B363" s="2" t="s">
        <v>350</v>
      </c>
      <c r="C363" s="2" t="s">
        <v>23</v>
      </c>
      <c r="D363" s="2" t="s">
        <v>351</v>
      </c>
      <c r="E363" s="2" t="s">
        <v>17</v>
      </c>
      <c r="F363" s="2">
        <v>40</v>
      </c>
      <c r="G363" s="2">
        <v>60</v>
      </c>
      <c r="H363" s="2">
        <v>58</v>
      </c>
      <c r="I363" s="2">
        <v>65</v>
      </c>
      <c r="J363" s="2">
        <v>57</v>
      </c>
      <c r="K363" s="2">
        <v>57</v>
      </c>
      <c r="L363">
        <f t="shared" si="15"/>
        <v>337</v>
      </c>
      <c r="M363" s="4">
        <f t="shared" si="16"/>
        <v>56.166666666666664</v>
      </c>
      <c r="N363" t="str" cm="1">
        <f t="array" ref="N363">_xlfn.IFS(M363&gt;=70,"A",M363&gt;=60,"B",M363&gt;=50,"C",M363&gt;=45,"D",M363&gt;=40,"E",TRUE,"F")</f>
        <v>C</v>
      </c>
      <c r="O363">
        <f t="shared" si="17"/>
        <v>29</v>
      </c>
    </row>
    <row r="364" spans="1:15" x14ac:dyDescent="0.35">
      <c r="A364" s="2" t="s">
        <v>349</v>
      </c>
      <c r="B364" s="2" t="s">
        <v>350</v>
      </c>
      <c r="C364" s="2" t="s">
        <v>23</v>
      </c>
      <c r="D364" s="2" t="s">
        <v>351</v>
      </c>
      <c r="E364" s="2" t="s">
        <v>20</v>
      </c>
      <c r="F364" s="2">
        <v>61</v>
      </c>
      <c r="G364" s="2">
        <v>58</v>
      </c>
      <c r="H364" s="2">
        <v>48</v>
      </c>
      <c r="I364" s="2">
        <v>63</v>
      </c>
      <c r="J364" s="2">
        <v>69</v>
      </c>
      <c r="K364" s="2">
        <v>65</v>
      </c>
      <c r="L364">
        <f t="shared" si="15"/>
        <v>364</v>
      </c>
      <c r="M364" s="4">
        <f t="shared" si="16"/>
        <v>60.666666666666664</v>
      </c>
      <c r="N364" t="str" cm="1">
        <f t="array" ref="N364">_xlfn.IFS(M364&gt;=70,"A",M364&gt;=60,"B",M364&gt;=50,"C",M364&gt;=45,"D",M364&gt;=40,"E",TRUE,"F")</f>
        <v>B</v>
      </c>
      <c r="O364">
        <f t="shared" si="17"/>
        <v>25</v>
      </c>
    </row>
    <row r="365" spans="1:15" x14ac:dyDescent="0.35">
      <c r="A365" s="2" t="s">
        <v>354</v>
      </c>
      <c r="B365" s="2" t="s">
        <v>355</v>
      </c>
      <c r="C365" s="2" t="s">
        <v>18</v>
      </c>
      <c r="D365" s="2" t="s">
        <v>351</v>
      </c>
      <c r="E365" s="2" t="s">
        <v>15</v>
      </c>
      <c r="F365" s="2">
        <v>47</v>
      </c>
      <c r="G365" s="2">
        <v>65</v>
      </c>
      <c r="H365" s="2">
        <v>46</v>
      </c>
      <c r="I365" s="2">
        <v>67</v>
      </c>
      <c r="J365" s="2">
        <v>69</v>
      </c>
      <c r="K365" s="2">
        <v>63</v>
      </c>
      <c r="L365">
        <f t="shared" si="15"/>
        <v>357</v>
      </c>
      <c r="M365" s="4">
        <f t="shared" si="16"/>
        <v>59.5</v>
      </c>
      <c r="N365" t="str" cm="1">
        <f t="array" ref="N365">_xlfn.IFS(M365&gt;=70,"A",M365&gt;=60,"B",M365&gt;=50,"C",M365&gt;=45,"D",M365&gt;=40,"E",TRUE,"F")</f>
        <v>C</v>
      </c>
      <c r="O365">
        <f t="shared" si="17"/>
        <v>24</v>
      </c>
    </row>
    <row r="366" spans="1:15" x14ac:dyDescent="0.35">
      <c r="A366" s="2" t="s">
        <v>354</v>
      </c>
      <c r="B366" s="2" t="s">
        <v>355</v>
      </c>
      <c r="C366" s="2" t="s">
        <v>18</v>
      </c>
      <c r="D366" s="2" t="s">
        <v>351</v>
      </c>
      <c r="E366" s="2" t="s">
        <v>17</v>
      </c>
      <c r="F366" s="2">
        <v>52</v>
      </c>
      <c r="G366" s="2">
        <v>57</v>
      </c>
      <c r="H366" s="2">
        <v>50</v>
      </c>
      <c r="I366" s="2">
        <v>53</v>
      </c>
      <c r="J366" s="2">
        <v>58</v>
      </c>
      <c r="K366" s="2">
        <v>57</v>
      </c>
      <c r="L366">
        <f t="shared" si="15"/>
        <v>327</v>
      </c>
      <c r="M366" s="4">
        <f t="shared" si="16"/>
        <v>54.5</v>
      </c>
      <c r="N366" t="str" cm="1">
        <f t="array" ref="N366">_xlfn.IFS(M366&gt;=70,"A",M366&gt;=60,"B",M366&gt;=50,"C",M366&gt;=45,"D",M366&gt;=40,"E",TRUE,"F")</f>
        <v>C</v>
      </c>
      <c r="O366">
        <f t="shared" si="17"/>
        <v>32</v>
      </c>
    </row>
    <row r="367" spans="1:15" x14ac:dyDescent="0.35">
      <c r="A367" s="2" t="s">
        <v>354</v>
      </c>
      <c r="B367" s="2" t="s">
        <v>355</v>
      </c>
      <c r="C367" s="2" t="s">
        <v>18</v>
      </c>
      <c r="D367" s="2" t="s">
        <v>351</v>
      </c>
      <c r="E367" s="2" t="s">
        <v>20</v>
      </c>
      <c r="F367" s="2">
        <v>57</v>
      </c>
      <c r="G367" s="2">
        <v>43</v>
      </c>
      <c r="H367" s="2">
        <v>63</v>
      </c>
      <c r="I367" s="2">
        <v>54</v>
      </c>
      <c r="J367" s="2">
        <v>51</v>
      </c>
      <c r="K367" s="2">
        <v>55</v>
      </c>
      <c r="L367">
        <f t="shared" si="15"/>
        <v>323</v>
      </c>
      <c r="M367" s="4">
        <f t="shared" si="16"/>
        <v>53.833333333333336</v>
      </c>
      <c r="N367" t="str" cm="1">
        <f t="array" ref="N367">_xlfn.IFS(M367&gt;=70,"A",M367&gt;=60,"B",M367&gt;=50,"C",M367&gt;=45,"D",M367&gt;=40,"E",TRUE,"F")</f>
        <v>C</v>
      </c>
      <c r="O367">
        <f t="shared" si="17"/>
        <v>32</v>
      </c>
    </row>
    <row r="368" spans="1:15" x14ac:dyDescent="0.35">
      <c r="A368" s="2" t="s">
        <v>357</v>
      </c>
      <c r="B368" s="2" t="s">
        <v>358</v>
      </c>
      <c r="C368" s="2" t="s">
        <v>23</v>
      </c>
      <c r="D368" s="2" t="s">
        <v>351</v>
      </c>
      <c r="E368" s="2" t="s">
        <v>15</v>
      </c>
      <c r="F368" s="2">
        <v>35</v>
      </c>
      <c r="G368" s="2">
        <v>34</v>
      </c>
      <c r="H368" s="2">
        <v>52</v>
      </c>
      <c r="I368" s="2">
        <v>50</v>
      </c>
      <c r="J368" s="2">
        <v>46</v>
      </c>
      <c r="K368" s="2">
        <v>45</v>
      </c>
      <c r="L368">
        <f t="shared" si="15"/>
        <v>262</v>
      </c>
      <c r="M368" s="4">
        <f t="shared" si="16"/>
        <v>43.666666666666664</v>
      </c>
      <c r="N368" t="str" cm="1">
        <f t="array" ref="N368">_xlfn.IFS(M368&gt;=70,"A",M368&gt;=60,"B",M368&gt;=50,"C",M368&gt;=45,"D",M368&gt;=40,"E",TRUE,"F")</f>
        <v>E</v>
      </c>
      <c r="O368">
        <f t="shared" si="17"/>
        <v>39</v>
      </c>
    </row>
    <row r="369" spans="1:15" x14ac:dyDescent="0.35">
      <c r="A369" s="2" t="s">
        <v>357</v>
      </c>
      <c r="B369" s="2" t="s">
        <v>358</v>
      </c>
      <c r="C369" s="2" t="s">
        <v>23</v>
      </c>
      <c r="D369" s="2" t="s">
        <v>351</v>
      </c>
      <c r="E369" s="2" t="s">
        <v>17</v>
      </c>
      <c r="F369" s="2">
        <v>43</v>
      </c>
      <c r="G369" s="2">
        <v>44</v>
      </c>
      <c r="H369" s="2">
        <v>60</v>
      </c>
      <c r="I369" s="2">
        <v>42</v>
      </c>
      <c r="J369" s="2">
        <v>50</v>
      </c>
      <c r="K369" s="2">
        <v>52</v>
      </c>
      <c r="L369">
        <f t="shared" si="15"/>
        <v>291</v>
      </c>
      <c r="M369" s="4">
        <f t="shared" si="16"/>
        <v>48.5</v>
      </c>
      <c r="N369" t="str" cm="1">
        <f t="array" ref="N369">_xlfn.IFS(M369&gt;=70,"A",M369&gt;=60,"B",M369&gt;=50,"C",M369&gt;=45,"D",M369&gt;=40,"E",TRUE,"F")</f>
        <v>D</v>
      </c>
      <c r="O369">
        <f t="shared" si="17"/>
        <v>38</v>
      </c>
    </row>
    <row r="370" spans="1:15" x14ac:dyDescent="0.35">
      <c r="A370" s="2" t="s">
        <v>357</v>
      </c>
      <c r="B370" s="2" t="s">
        <v>358</v>
      </c>
      <c r="C370" s="2" t="s">
        <v>23</v>
      </c>
      <c r="D370" s="2" t="s">
        <v>351</v>
      </c>
      <c r="E370" s="2" t="s">
        <v>20</v>
      </c>
      <c r="F370" s="2">
        <v>54</v>
      </c>
      <c r="G370" s="2">
        <v>59</v>
      </c>
      <c r="H370" s="2">
        <v>54</v>
      </c>
      <c r="I370" s="2">
        <v>59</v>
      </c>
      <c r="J370" s="2">
        <v>64</v>
      </c>
      <c r="K370" s="2">
        <v>57</v>
      </c>
      <c r="L370">
        <f t="shared" si="15"/>
        <v>347</v>
      </c>
      <c r="M370" s="4">
        <f t="shared" si="16"/>
        <v>57.833333333333336</v>
      </c>
      <c r="N370" t="str" cm="1">
        <f t="array" ref="N370">_xlfn.IFS(M370&gt;=70,"A",M370&gt;=60,"B",M370&gt;=50,"C",M370&gt;=45,"D",M370&gt;=40,"E",TRUE,"F")</f>
        <v>C</v>
      </c>
      <c r="O370">
        <f t="shared" si="17"/>
        <v>29</v>
      </c>
    </row>
    <row r="371" spans="1:15" x14ac:dyDescent="0.35">
      <c r="A371" s="2" t="s">
        <v>359</v>
      </c>
      <c r="B371" s="2" t="s">
        <v>360</v>
      </c>
      <c r="C371" s="2" t="s">
        <v>18</v>
      </c>
      <c r="D371" s="2" t="s">
        <v>351</v>
      </c>
      <c r="E371" s="2" t="s">
        <v>15</v>
      </c>
      <c r="F371" s="2">
        <v>63</v>
      </c>
      <c r="G371" s="2">
        <v>57</v>
      </c>
      <c r="H371" s="2">
        <v>68</v>
      </c>
      <c r="I371" s="2">
        <v>65</v>
      </c>
      <c r="J371" s="2">
        <v>78</v>
      </c>
      <c r="K371" s="2">
        <v>63</v>
      </c>
      <c r="L371">
        <f t="shared" si="15"/>
        <v>394</v>
      </c>
      <c r="M371" s="4">
        <f t="shared" si="16"/>
        <v>65.666666666666671</v>
      </c>
      <c r="N371" t="str" cm="1">
        <f t="array" ref="N371">_xlfn.IFS(M371&gt;=70,"A",M371&gt;=60,"B",M371&gt;=50,"C",M371&gt;=45,"D",M371&gt;=40,"E",TRUE,"F")</f>
        <v>B</v>
      </c>
      <c r="O371">
        <f t="shared" si="17"/>
        <v>15</v>
      </c>
    </row>
    <row r="372" spans="1:15" x14ac:dyDescent="0.35">
      <c r="A372" s="2" t="s">
        <v>359</v>
      </c>
      <c r="B372" s="2" t="s">
        <v>360</v>
      </c>
      <c r="C372" s="2" t="s">
        <v>18</v>
      </c>
      <c r="D372" s="2" t="s">
        <v>351</v>
      </c>
      <c r="E372" s="2" t="s">
        <v>17</v>
      </c>
      <c r="F372" s="2">
        <v>57</v>
      </c>
      <c r="G372" s="2">
        <v>61</v>
      </c>
      <c r="H372" s="2">
        <v>71</v>
      </c>
      <c r="I372" s="2">
        <v>59</v>
      </c>
      <c r="J372" s="2">
        <v>77</v>
      </c>
      <c r="K372" s="2">
        <v>76</v>
      </c>
      <c r="L372">
        <f t="shared" si="15"/>
        <v>401</v>
      </c>
      <c r="M372" s="4">
        <f t="shared" si="16"/>
        <v>66.833333333333329</v>
      </c>
      <c r="N372" t="str" cm="1">
        <f t="array" ref="N372">_xlfn.IFS(M372&gt;=70,"A",M372&gt;=60,"B",M372&gt;=50,"C",M372&gt;=45,"D",M372&gt;=40,"E",TRUE,"F")</f>
        <v>B</v>
      </c>
      <c r="O372">
        <f t="shared" si="17"/>
        <v>16</v>
      </c>
    </row>
    <row r="373" spans="1:15" x14ac:dyDescent="0.35">
      <c r="A373" s="2" t="s">
        <v>359</v>
      </c>
      <c r="B373" s="2" t="s">
        <v>360</v>
      </c>
      <c r="C373" s="2" t="s">
        <v>18</v>
      </c>
      <c r="D373" s="2" t="s">
        <v>351</v>
      </c>
      <c r="E373" s="2" t="s">
        <v>20</v>
      </c>
      <c r="F373" s="2">
        <v>65</v>
      </c>
      <c r="G373" s="2">
        <v>62</v>
      </c>
      <c r="H373" s="2">
        <v>68</v>
      </c>
      <c r="I373" s="2">
        <v>82</v>
      </c>
      <c r="J373" s="2">
        <v>66</v>
      </c>
      <c r="K373" s="2">
        <v>75</v>
      </c>
      <c r="L373">
        <f t="shared" si="15"/>
        <v>418</v>
      </c>
      <c r="M373" s="4">
        <f t="shared" si="16"/>
        <v>69.666666666666671</v>
      </c>
      <c r="N373" t="str" cm="1">
        <f t="array" ref="N373">_xlfn.IFS(M373&gt;=70,"A",M373&gt;=60,"B",M373&gt;=50,"C",M373&gt;=45,"D",M373&gt;=40,"E",TRUE,"F")</f>
        <v>B</v>
      </c>
      <c r="O373">
        <f t="shared" si="17"/>
        <v>12</v>
      </c>
    </row>
    <row r="374" spans="1:15" x14ac:dyDescent="0.35">
      <c r="A374" s="2" t="s">
        <v>362</v>
      </c>
      <c r="B374" s="2" t="s">
        <v>363</v>
      </c>
      <c r="C374" s="2" t="s">
        <v>23</v>
      </c>
      <c r="D374" s="2" t="s">
        <v>351</v>
      </c>
      <c r="E374" s="2" t="s">
        <v>15</v>
      </c>
      <c r="F374" s="2">
        <v>72</v>
      </c>
      <c r="G374" s="2">
        <v>73</v>
      </c>
      <c r="H374" s="2">
        <v>72</v>
      </c>
      <c r="I374" s="2">
        <v>87</v>
      </c>
      <c r="J374" s="2">
        <v>84</v>
      </c>
      <c r="K374" s="2">
        <v>69</v>
      </c>
      <c r="L374">
        <f t="shared" si="15"/>
        <v>457</v>
      </c>
      <c r="M374" s="4">
        <f t="shared" si="16"/>
        <v>76.166666666666671</v>
      </c>
      <c r="N374" t="str" cm="1">
        <f t="array" ref="N374">_xlfn.IFS(M374&gt;=70,"A",M374&gt;=60,"B",M374&gt;=50,"C",M374&gt;=45,"D",M374&gt;=40,"E",TRUE,"F")</f>
        <v>A</v>
      </c>
      <c r="O374">
        <f t="shared" si="17"/>
        <v>4</v>
      </c>
    </row>
    <row r="375" spans="1:15" x14ac:dyDescent="0.35">
      <c r="A375" s="2" t="s">
        <v>362</v>
      </c>
      <c r="B375" s="2" t="s">
        <v>363</v>
      </c>
      <c r="C375" s="2" t="s">
        <v>23</v>
      </c>
      <c r="D375" s="2" t="s">
        <v>351</v>
      </c>
      <c r="E375" s="2" t="s">
        <v>17</v>
      </c>
      <c r="F375" s="2">
        <v>75</v>
      </c>
      <c r="G375" s="2">
        <v>75</v>
      </c>
      <c r="H375" s="2">
        <v>82</v>
      </c>
      <c r="I375" s="2">
        <v>76</v>
      </c>
      <c r="J375" s="2">
        <v>98</v>
      </c>
      <c r="K375" s="2">
        <v>77</v>
      </c>
      <c r="L375">
        <f t="shared" si="15"/>
        <v>483</v>
      </c>
      <c r="M375" s="4">
        <f t="shared" si="16"/>
        <v>80.5</v>
      </c>
      <c r="N375" t="str" cm="1">
        <f t="array" ref="N375">_xlfn.IFS(M375&gt;=70,"A",M375&gt;=60,"B",M375&gt;=50,"C",M375&gt;=45,"D",M375&gt;=40,"E",TRUE,"F")</f>
        <v>A</v>
      </c>
      <c r="O375">
        <f t="shared" si="17"/>
        <v>3</v>
      </c>
    </row>
    <row r="376" spans="1:15" x14ac:dyDescent="0.35">
      <c r="A376" s="2" t="s">
        <v>362</v>
      </c>
      <c r="B376" s="2" t="s">
        <v>363</v>
      </c>
      <c r="C376" s="2" t="s">
        <v>23</v>
      </c>
      <c r="D376" s="2" t="s">
        <v>351</v>
      </c>
      <c r="E376" s="2" t="s">
        <v>20</v>
      </c>
      <c r="F376" s="2">
        <v>74</v>
      </c>
      <c r="G376" s="2">
        <v>68</v>
      </c>
      <c r="H376" s="2">
        <v>74</v>
      </c>
      <c r="I376" s="2">
        <v>70</v>
      </c>
      <c r="J376" s="2">
        <v>88</v>
      </c>
      <c r="K376" s="2">
        <v>81</v>
      </c>
      <c r="L376">
        <f t="shared" si="15"/>
        <v>455</v>
      </c>
      <c r="M376" s="4">
        <f t="shared" si="16"/>
        <v>75.833333333333329</v>
      </c>
      <c r="N376" t="str" cm="1">
        <f t="array" ref="N376">_xlfn.IFS(M376&gt;=70,"A",M376&gt;=60,"B",M376&gt;=50,"C",M376&gt;=45,"D",M376&gt;=40,"E",TRUE,"F")</f>
        <v>A</v>
      </c>
      <c r="O376">
        <f t="shared" si="17"/>
        <v>8</v>
      </c>
    </row>
    <row r="377" spans="1:15" x14ac:dyDescent="0.35">
      <c r="A377" s="2" t="s">
        <v>364</v>
      </c>
      <c r="B377" s="2" t="s">
        <v>366</v>
      </c>
      <c r="C377" s="2" t="s">
        <v>18</v>
      </c>
      <c r="D377" s="2" t="s">
        <v>351</v>
      </c>
      <c r="E377" s="2" t="s">
        <v>15</v>
      </c>
      <c r="F377" s="2">
        <v>59</v>
      </c>
      <c r="G377" s="2">
        <v>54</v>
      </c>
      <c r="H377" s="2">
        <v>41</v>
      </c>
      <c r="I377" s="2">
        <v>51</v>
      </c>
      <c r="J377" s="2">
        <v>56</v>
      </c>
      <c r="K377" s="2">
        <v>70</v>
      </c>
      <c r="L377">
        <f t="shared" si="15"/>
        <v>331</v>
      </c>
      <c r="M377" s="4">
        <f t="shared" si="16"/>
        <v>55.166666666666664</v>
      </c>
      <c r="N377" t="str" cm="1">
        <f t="array" ref="N377">_xlfn.IFS(M377&gt;=70,"A",M377&gt;=60,"B",M377&gt;=50,"C",M377&gt;=45,"D",M377&gt;=40,"E",TRUE,"F")</f>
        <v>C</v>
      </c>
      <c r="O377">
        <f t="shared" si="17"/>
        <v>29</v>
      </c>
    </row>
    <row r="378" spans="1:15" x14ac:dyDescent="0.35">
      <c r="A378" s="2" t="s">
        <v>364</v>
      </c>
      <c r="B378" s="2" t="s">
        <v>366</v>
      </c>
      <c r="C378" s="2" t="s">
        <v>18</v>
      </c>
      <c r="D378" s="2" t="s">
        <v>351</v>
      </c>
      <c r="E378" s="2" t="s">
        <v>17</v>
      </c>
      <c r="F378" s="2">
        <v>69</v>
      </c>
      <c r="G378" s="2">
        <v>55</v>
      </c>
      <c r="H378" s="2">
        <v>56</v>
      </c>
      <c r="I378" s="2">
        <v>67</v>
      </c>
      <c r="J378" s="2">
        <v>52</v>
      </c>
      <c r="K378" s="2">
        <v>59</v>
      </c>
      <c r="L378">
        <f t="shared" si="15"/>
        <v>358</v>
      </c>
      <c r="M378" s="4">
        <f t="shared" si="16"/>
        <v>59.666666666666664</v>
      </c>
      <c r="N378" t="str" cm="1">
        <f t="array" ref="N378">_xlfn.IFS(M378&gt;=70,"A",M378&gt;=60,"B",M378&gt;=50,"C",M378&gt;=45,"D",M378&gt;=40,"E",TRUE,"F")</f>
        <v>C</v>
      </c>
      <c r="O378">
        <f t="shared" si="17"/>
        <v>25</v>
      </c>
    </row>
    <row r="379" spans="1:15" x14ac:dyDescent="0.35">
      <c r="A379" s="2" t="s">
        <v>364</v>
      </c>
      <c r="B379" s="2" t="s">
        <v>366</v>
      </c>
      <c r="C379" s="2" t="s">
        <v>18</v>
      </c>
      <c r="D379" s="2" t="s">
        <v>351</v>
      </c>
      <c r="E379" s="2" t="s">
        <v>20</v>
      </c>
      <c r="F379" s="2">
        <v>55</v>
      </c>
      <c r="G379" s="2">
        <v>59</v>
      </c>
      <c r="H379" s="2">
        <v>54</v>
      </c>
      <c r="I379" s="2">
        <v>53</v>
      </c>
      <c r="J379" s="2">
        <v>61</v>
      </c>
      <c r="K379" s="2">
        <v>68</v>
      </c>
      <c r="L379">
        <f t="shared" si="15"/>
        <v>350</v>
      </c>
      <c r="M379" s="4">
        <f t="shared" si="16"/>
        <v>58.333333333333336</v>
      </c>
      <c r="N379" t="str" cm="1">
        <f t="array" ref="N379">_xlfn.IFS(M379&gt;=70,"A",M379&gt;=60,"B",M379&gt;=50,"C",M379&gt;=45,"D",M379&gt;=40,"E",TRUE,"F")</f>
        <v>C</v>
      </c>
      <c r="O379">
        <f t="shared" si="17"/>
        <v>28</v>
      </c>
    </row>
    <row r="380" spans="1:15" x14ac:dyDescent="0.35">
      <c r="A380" s="2" t="s">
        <v>367</v>
      </c>
      <c r="B380" s="2" t="s">
        <v>368</v>
      </c>
      <c r="C380" s="2" t="s">
        <v>23</v>
      </c>
      <c r="D380" s="2" t="s">
        <v>351</v>
      </c>
      <c r="E380" s="2" t="s">
        <v>15</v>
      </c>
      <c r="F380" s="2">
        <v>14</v>
      </c>
      <c r="G380" s="2">
        <v>26</v>
      </c>
      <c r="H380" s="2">
        <v>38</v>
      </c>
      <c r="I380" s="2">
        <v>31</v>
      </c>
      <c r="J380" s="2">
        <v>33</v>
      </c>
      <c r="K380" s="2">
        <v>24</v>
      </c>
      <c r="L380">
        <f t="shared" si="15"/>
        <v>166</v>
      </c>
      <c r="M380" s="4">
        <f t="shared" si="16"/>
        <v>27.666666666666668</v>
      </c>
      <c r="N380" t="str" cm="1">
        <f t="array" ref="N380">_xlfn.IFS(M380&gt;=70,"A",M380&gt;=60,"B",M380&gt;=50,"C",M380&gt;=45,"D",M380&gt;=40,"E",TRUE,"F")</f>
        <v>F</v>
      </c>
      <c r="O380">
        <f t="shared" si="17"/>
        <v>40</v>
      </c>
    </row>
    <row r="381" spans="1:15" x14ac:dyDescent="0.35">
      <c r="A381" s="2" t="s">
        <v>367</v>
      </c>
      <c r="B381" s="2" t="s">
        <v>368</v>
      </c>
      <c r="C381" s="2" t="s">
        <v>23</v>
      </c>
      <c r="D381" s="2" t="s">
        <v>351</v>
      </c>
      <c r="E381" s="2" t="s">
        <v>17</v>
      </c>
      <c r="F381" s="2">
        <v>24</v>
      </c>
      <c r="G381" s="2">
        <v>32</v>
      </c>
      <c r="H381" s="2">
        <v>26</v>
      </c>
      <c r="I381" s="2">
        <v>28</v>
      </c>
      <c r="J381" s="2">
        <v>27</v>
      </c>
      <c r="K381" s="2">
        <v>38</v>
      </c>
      <c r="L381">
        <f t="shared" si="15"/>
        <v>175</v>
      </c>
      <c r="M381" s="4">
        <f t="shared" si="16"/>
        <v>29.166666666666668</v>
      </c>
      <c r="N381" t="str" cm="1">
        <f t="array" ref="N381">_xlfn.IFS(M381&gt;=70,"A",M381&gt;=60,"B",M381&gt;=50,"C",M381&gt;=45,"D",M381&gt;=40,"E",TRUE,"F")</f>
        <v>F</v>
      </c>
      <c r="O381">
        <f t="shared" si="17"/>
        <v>40</v>
      </c>
    </row>
    <row r="382" spans="1:15" x14ac:dyDescent="0.35">
      <c r="A382" s="2" t="s">
        <v>367</v>
      </c>
      <c r="B382" s="2" t="s">
        <v>368</v>
      </c>
      <c r="C382" s="2" t="s">
        <v>23</v>
      </c>
      <c r="D382" s="2" t="s">
        <v>351</v>
      </c>
      <c r="E382" s="2" t="s">
        <v>20</v>
      </c>
      <c r="F382" s="2">
        <v>42</v>
      </c>
      <c r="G382" s="2">
        <v>47</v>
      </c>
      <c r="H382" s="2">
        <v>45</v>
      </c>
      <c r="I382" s="2">
        <v>52</v>
      </c>
      <c r="J382" s="2">
        <v>41</v>
      </c>
      <c r="K382" s="2">
        <v>44</v>
      </c>
      <c r="L382">
        <f t="shared" si="15"/>
        <v>271</v>
      </c>
      <c r="M382" s="4">
        <f t="shared" si="16"/>
        <v>45.166666666666664</v>
      </c>
      <c r="N382" t="str" cm="1">
        <f t="array" ref="N382">_xlfn.IFS(M382&gt;=70,"A",M382&gt;=60,"B",M382&gt;=50,"C",M382&gt;=45,"D",M382&gt;=40,"E",TRUE,"F")</f>
        <v>D</v>
      </c>
      <c r="O382">
        <f t="shared" si="17"/>
        <v>40</v>
      </c>
    </row>
    <row r="383" spans="1:15" x14ac:dyDescent="0.35">
      <c r="A383" s="2" t="s">
        <v>369</v>
      </c>
      <c r="B383" s="2" t="s">
        <v>371</v>
      </c>
      <c r="C383" s="2" t="s">
        <v>23</v>
      </c>
      <c r="D383" s="2" t="s">
        <v>351</v>
      </c>
      <c r="E383" s="2" t="s">
        <v>15</v>
      </c>
      <c r="F383" s="2">
        <v>55</v>
      </c>
      <c r="G383" s="2">
        <v>57</v>
      </c>
      <c r="H383" s="2">
        <v>63</v>
      </c>
      <c r="I383" s="2">
        <v>61</v>
      </c>
      <c r="J383" s="2">
        <v>75</v>
      </c>
      <c r="K383" s="2">
        <v>63</v>
      </c>
      <c r="L383">
        <f t="shared" si="15"/>
        <v>374</v>
      </c>
      <c r="M383" s="4">
        <f t="shared" si="16"/>
        <v>62.333333333333336</v>
      </c>
      <c r="N383" t="str" cm="1">
        <f t="array" ref="N383">_xlfn.IFS(M383&gt;=70,"A",M383&gt;=60,"B",M383&gt;=50,"C",M383&gt;=45,"D",M383&gt;=40,"E",TRUE,"F")</f>
        <v>B</v>
      </c>
      <c r="O383">
        <f t="shared" si="17"/>
        <v>20</v>
      </c>
    </row>
    <row r="384" spans="1:15" x14ac:dyDescent="0.35">
      <c r="A384" s="2" t="s">
        <v>369</v>
      </c>
      <c r="B384" s="2" t="s">
        <v>371</v>
      </c>
      <c r="C384" s="2" t="s">
        <v>23</v>
      </c>
      <c r="D384" s="2" t="s">
        <v>351</v>
      </c>
      <c r="E384" s="2" t="s">
        <v>17</v>
      </c>
      <c r="F384" s="2">
        <v>59</v>
      </c>
      <c r="G384" s="2">
        <v>73</v>
      </c>
      <c r="H384" s="2">
        <v>51</v>
      </c>
      <c r="I384" s="2">
        <v>60</v>
      </c>
      <c r="J384" s="2">
        <v>60</v>
      </c>
      <c r="K384" s="2">
        <v>60</v>
      </c>
      <c r="L384">
        <f t="shared" si="15"/>
        <v>363</v>
      </c>
      <c r="M384" s="4">
        <f t="shared" si="16"/>
        <v>60.5</v>
      </c>
      <c r="N384" t="str" cm="1">
        <f t="array" ref="N384">_xlfn.IFS(M384&gt;=70,"A",M384&gt;=60,"B",M384&gt;=50,"C",M384&gt;=45,"D",M384&gt;=40,"E",TRUE,"F")</f>
        <v>B</v>
      </c>
      <c r="O384">
        <f t="shared" si="17"/>
        <v>24</v>
      </c>
    </row>
    <row r="385" spans="1:15" x14ac:dyDescent="0.35">
      <c r="A385" s="2" t="s">
        <v>369</v>
      </c>
      <c r="B385" s="2" t="s">
        <v>371</v>
      </c>
      <c r="C385" s="2" t="s">
        <v>23</v>
      </c>
      <c r="D385" s="2" t="s">
        <v>351</v>
      </c>
      <c r="E385" s="2" t="s">
        <v>20</v>
      </c>
      <c r="F385" s="2">
        <v>55</v>
      </c>
      <c r="G385" s="2">
        <v>63</v>
      </c>
      <c r="H385" s="2">
        <v>52</v>
      </c>
      <c r="I385" s="2">
        <v>59</v>
      </c>
      <c r="J385" s="2">
        <v>65</v>
      </c>
      <c r="K385" s="2">
        <v>68</v>
      </c>
      <c r="L385">
        <f t="shared" si="15"/>
        <v>362</v>
      </c>
      <c r="M385" s="4">
        <f t="shared" si="16"/>
        <v>60.333333333333336</v>
      </c>
      <c r="N385" t="str" cm="1">
        <f t="array" ref="N385">_xlfn.IFS(M385&gt;=70,"A",M385&gt;=60,"B",M385&gt;=50,"C",M385&gt;=45,"D",M385&gt;=40,"E",TRUE,"F")</f>
        <v>B</v>
      </c>
      <c r="O385">
        <f t="shared" si="17"/>
        <v>27</v>
      </c>
    </row>
    <row r="386" spans="1:15" x14ac:dyDescent="0.35">
      <c r="A386" s="2" t="s">
        <v>372</v>
      </c>
      <c r="B386" s="2" t="s">
        <v>374</v>
      </c>
      <c r="C386" s="2" t="s">
        <v>18</v>
      </c>
      <c r="D386" s="2" t="s">
        <v>351</v>
      </c>
      <c r="E386" s="2" t="s">
        <v>20</v>
      </c>
      <c r="F386" s="2">
        <v>88</v>
      </c>
      <c r="G386" s="2">
        <v>98</v>
      </c>
      <c r="H386" s="2">
        <v>91</v>
      </c>
      <c r="I386" s="2">
        <v>94</v>
      </c>
      <c r="J386" s="2">
        <v>95</v>
      </c>
      <c r="K386" s="2">
        <v>95</v>
      </c>
      <c r="L386">
        <f t="shared" ref="L386:L449" si="18">SUM(F386:K386)</f>
        <v>561</v>
      </c>
      <c r="M386" s="4">
        <f t="shared" ref="M386:M449" si="19">AVERAGE(F386:K386)</f>
        <v>93.5</v>
      </c>
      <c r="N386" t="str" cm="1">
        <f t="array" ref="N386">_xlfn.IFS(M386&gt;=70,"A",M386&gt;=60,"B",M386&gt;=50,"C",M386&gt;=45,"D",M386&gt;=40,"E",TRUE,"F")</f>
        <v>A</v>
      </c>
      <c r="O386">
        <f t="shared" ref="O386:O449" si="20">COUNTIFS($D$2:$D$721,D386,$E$2:$E$721,E386,$M$2:$M$721,"&gt;"&amp;M386)+1</f>
        <v>2</v>
      </c>
    </row>
    <row r="387" spans="1:15" x14ac:dyDescent="0.35">
      <c r="A387" s="2" t="s">
        <v>372</v>
      </c>
      <c r="B387" s="2" t="s">
        <v>374</v>
      </c>
      <c r="C387" s="2" t="s">
        <v>18</v>
      </c>
      <c r="D387" s="2" t="s">
        <v>351</v>
      </c>
      <c r="E387" s="2" t="s">
        <v>15</v>
      </c>
      <c r="F387" s="2">
        <v>69</v>
      </c>
      <c r="G387" s="2">
        <v>98</v>
      </c>
      <c r="H387" s="2">
        <v>79</v>
      </c>
      <c r="I387" s="2">
        <v>87</v>
      </c>
      <c r="J387" s="2">
        <v>83</v>
      </c>
      <c r="K387" s="2">
        <v>87</v>
      </c>
      <c r="L387">
        <f t="shared" si="18"/>
        <v>503</v>
      </c>
      <c r="M387" s="4">
        <f t="shared" si="19"/>
        <v>83.833333333333329</v>
      </c>
      <c r="N387" t="str" cm="1">
        <f t="array" ref="N387">_xlfn.IFS(M387&gt;=70,"A",M387&gt;=60,"B",M387&gt;=50,"C",M387&gt;=45,"D",M387&gt;=40,"E",TRUE,"F")</f>
        <v>A</v>
      </c>
      <c r="O387">
        <f t="shared" si="20"/>
        <v>2</v>
      </c>
    </row>
    <row r="388" spans="1:15" x14ac:dyDescent="0.35">
      <c r="A388" s="2" t="s">
        <v>372</v>
      </c>
      <c r="B388" s="2" t="s">
        <v>374</v>
      </c>
      <c r="C388" s="2" t="s">
        <v>18</v>
      </c>
      <c r="D388" s="2" t="s">
        <v>351</v>
      </c>
      <c r="E388" s="2" t="s">
        <v>17</v>
      </c>
      <c r="F388" s="2">
        <v>75</v>
      </c>
      <c r="G388" s="2">
        <v>98</v>
      </c>
      <c r="H388" s="2">
        <v>72</v>
      </c>
      <c r="I388" s="2">
        <v>89</v>
      </c>
      <c r="J388" s="2">
        <v>96</v>
      </c>
      <c r="K388" s="2">
        <v>82</v>
      </c>
      <c r="L388">
        <f t="shared" si="18"/>
        <v>512</v>
      </c>
      <c r="M388" s="4">
        <f t="shared" si="19"/>
        <v>85.333333333333329</v>
      </c>
      <c r="N388" t="str" cm="1">
        <f t="array" ref="N388">_xlfn.IFS(M388&gt;=70,"A",M388&gt;=60,"B",M388&gt;=50,"C",M388&gt;=45,"D",M388&gt;=40,"E",TRUE,"F")</f>
        <v>A</v>
      </c>
      <c r="O388">
        <f t="shared" si="20"/>
        <v>2</v>
      </c>
    </row>
    <row r="389" spans="1:15" x14ac:dyDescent="0.35">
      <c r="A389" s="2" t="s">
        <v>375</v>
      </c>
      <c r="B389" s="2" t="s">
        <v>376</v>
      </c>
      <c r="C389" s="2" t="s">
        <v>18</v>
      </c>
      <c r="D389" s="2" t="s">
        <v>351</v>
      </c>
      <c r="E389" s="2" t="s">
        <v>15</v>
      </c>
      <c r="F389" s="2">
        <v>62</v>
      </c>
      <c r="G389" s="2">
        <v>58</v>
      </c>
      <c r="H389" s="2">
        <v>64</v>
      </c>
      <c r="I389" s="2">
        <v>64</v>
      </c>
      <c r="J389" s="2">
        <v>64</v>
      </c>
      <c r="K389" s="2">
        <v>62</v>
      </c>
      <c r="L389">
        <f t="shared" si="18"/>
        <v>374</v>
      </c>
      <c r="M389" s="4">
        <f t="shared" si="19"/>
        <v>62.333333333333336</v>
      </c>
      <c r="N389" t="str" cm="1">
        <f t="array" ref="N389">_xlfn.IFS(M389&gt;=70,"A",M389&gt;=60,"B",M389&gt;=50,"C",M389&gt;=45,"D",M389&gt;=40,"E",TRUE,"F")</f>
        <v>B</v>
      </c>
      <c r="O389">
        <f t="shared" si="20"/>
        <v>20</v>
      </c>
    </row>
    <row r="390" spans="1:15" x14ac:dyDescent="0.35">
      <c r="A390" s="2" t="s">
        <v>375</v>
      </c>
      <c r="B390" s="2" t="s">
        <v>376</v>
      </c>
      <c r="C390" s="2" t="s">
        <v>18</v>
      </c>
      <c r="D390" s="2" t="s">
        <v>351</v>
      </c>
      <c r="E390" s="2" t="s">
        <v>17</v>
      </c>
      <c r="F390" s="2">
        <v>62</v>
      </c>
      <c r="G390" s="2">
        <v>59</v>
      </c>
      <c r="H390" s="2">
        <v>69</v>
      </c>
      <c r="I390" s="2">
        <v>66</v>
      </c>
      <c r="J390" s="2">
        <v>68</v>
      </c>
      <c r="K390" s="2">
        <v>62</v>
      </c>
      <c r="L390">
        <f t="shared" si="18"/>
        <v>386</v>
      </c>
      <c r="M390" s="4">
        <f t="shared" si="19"/>
        <v>64.333333333333329</v>
      </c>
      <c r="N390" t="str" cm="1">
        <f t="array" ref="N390">_xlfn.IFS(M390&gt;=70,"A",M390&gt;=60,"B",M390&gt;=50,"C",M390&gt;=45,"D",M390&gt;=40,"E",TRUE,"F")</f>
        <v>B</v>
      </c>
      <c r="O390">
        <f t="shared" si="20"/>
        <v>20</v>
      </c>
    </row>
    <row r="391" spans="1:15" x14ac:dyDescent="0.35">
      <c r="A391" s="2" t="s">
        <v>375</v>
      </c>
      <c r="B391" s="2" t="s">
        <v>376</v>
      </c>
      <c r="C391" s="2" t="s">
        <v>18</v>
      </c>
      <c r="D391" s="2" t="s">
        <v>351</v>
      </c>
      <c r="E391" s="2" t="s">
        <v>20</v>
      </c>
      <c r="F391" s="2">
        <v>50</v>
      </c>
      <c r="G391" s="2">
        <v>67</v>
      </c>
      <c r="H391" s="2">
        <v>61</v>
      </c>
      <c r="I391" s="2">
        <v>67</v>
      </c>
      <c r="J391" s="2">
        <v>72</v>
      </c>
      <c r="K391" s="2">
        <v>73</v>
      </c>
      <c r="L391">
        <f t="shared" si="18"/>
        <v>390</v>
      </c>
      <c r="M391" s="4">
        <f t="shared" si="19"/>
        <v>65</v>
      </c>
      <c r="N391" t="str" cm="1">
        <f t="array" ref="N391">_xlfn.IFS(M391&gt;=70,"A",M391&gt;=60,"B",M391&gt;=50,"C",M391&gt;=45,"D",M391&gt;=40,"E",TRUE,"F")</f>
        <v>B</v>
      </c>
      <c r="O391">
        <f t="shared" si="20"/>
        <v>19</v>
      </c>
    </row>
    <row r="392" spans="1:15" x14ac:dyDescent="0.35">
      <c r="A392" s="2" t="s">
        <v>377</v>
      </c>
      <c r="B392" s="2" t="s">
        <v>378</v>
      </c>
      <c r="C392" s="2" t="s">
        <v>23</v>
      </c>
      <c r="D392" s="2" t="s">
        <v>351</v>
      </c>
      <c r="E392" s="2" t="s">
        <v>15</v>
      </c>
      <c r="F392" s="2">
        <v>51</v>
      </c>
      <c r="G392" s="2">
        <v>80</v>
      </c>
      <c r="H392" s="2">
        <v>80</v>
      </c>
      <c r="I392" s="2">
        <v>66</v>
      </c>
      <c r="J392" s="2">
        <v>54</v>
      </c>
      <c r="K392" s="2">
        <v>60</v>
      </c>
      <c r="L392">
        <f t="shared" si="18"/>
        <v>391</v>
      </c>
      <c r="M392" s="4">
        <f t="shared" si="19"/>
        <v>65.166666666666671</v>
      </c>
      <c r="N392" t="str" cm="1">
        <f t="array" ref="N392">_xlfn.IFS(M392&gt;=70,"A",M392&gt;=60,"B",M392&gt;=50,"C",M392&gt;=45,"D",M392&gt;=40,"E",TRUE,"F")</f>
        <v>B</v>
      </c>
      <c r="O392">
        <f t="shared" si="20"/>
        <v>16</v>
      </c>
    </row>
    <row r="393" spans="1:15" x14ac:dyDescent="0.35">
      <c r="A393" s="2" t="s">
        <v>377</v>
      </c>
      <c r="B393" s="2" t="s">
        <v>378</v>
      </c>
      <c r="C393" s="2" t="s">
        <v>23</v>
      </c>
      <c r="D393" s="2" t="s">
        <v>351</v>
      </c>
      <c r="E393" s="2" t="s">
        <v>17</v>
      </c>
      <c r="F393" s="2">
        <v>55</v>
      </c>
      <c r="G393" s="2">
        <v>52</v>
      </c>
      <c r="H393" s="2">
        <v>54</v>
      </c>
      <c r="I393" s="2">
        <v>45</v>
      </c>
      <c r="J393" s="2">
        <v>63</v>
      </c>
      <c r="K393" s="2">
        <v>71</v>
      </c>
      <c r="L393">
        <f t="shared" si="18"/>
        <v>340</v>
      </c>
      <c r="M393" s="4">
        <f t="shared" si="19"/>
        <v>56.666666666666664</v>
      </c>
      <c r="N393" t="str" cm="1">
        <f t="array" ref="N393">_xlfn.IFS(M393&gt;=70,"A",M393&gt;=60,"B",M393&gt;=50,"C",M393&gt;=45,"D",M393&gt;=40,"E",TRUE,"F")</f>
        <v>C</v>
      </c>
      <c r="O393">
        <f t="shared" si="20"/>
        <v>28</v>
      </c>
    </row>
    <row r="394" spans="1:15" x14ac:dyDescent="0.35">
      <c r="A394" s="2" t="s">
        <v>377</v>
      </c>
      <c r="B394" s="2" t="s">
        <v>378</v>
      </c>
      <c r="C394" s="2" t="s">
        <v>23</v>
      </c>
      <c r="D394" s="2" t="s">
        <v>351</v>
      </c>
      <c r="E394" s="2" t="s">
        <v>20</v>
      </c>
      <c r="F394" s="2">
        <v>39</v>
      </c>
      <c r="G394" s="2">
        <v>51</v>
      </c>
      <c r="H394" s="2">
        <v>49</v>
      </c>
      <c r="I394" s="2">
        <v>39</v>
      </c>
      <c r="J394" s="2">
        <v>54</v>
      </c>
      <c r="K394" s="2">
        <v>55</v>
      </c>
      <c r="L394">
        <f t="shared" si="18"/>
        <v>287</v>
      </c>
      <c r="M394" s="4">
        <f t="shared" si="19"/>
        <v>47.833333333333336</v>
      </c>
      <c r="N394" t="str" cm="1">
        <f t="array" ref="N394">_xlfn.IFS(M394&gt;=70,"A",M394&gt;=60,"B",M394&gt;=50,"C",M394&gt;=45,"D",M394&gt;=40,"E",TRUE,"F")</f>
        <v>D</v>
      </c>
      <c r="O394">
        <f t="shared" si="20"/>
        <v>36</v>
      </c>
    </row>
    <row r="395" spans="1:15" x14ac:dyDescent="0.35">
      <c r="A395" s="2" t="s">
        <v>382</v>
      </c>
      <c r="B395" s="2" t="s">
        <v>383</v>
      </c>
      <c r="C395" s="2" t="s">
        <v>18</v>
      </c>
      <c r="D395" s="2" t="s">
        <v>351</v>
      </c>
      <c r="E395" s="2" t="s">
        <v>15</v>
      </c>
      <c r="F395" s="2">
        <v>52</v>
      </c>
      <c r="G395" s="2">
        <v>62</v>
      </c>
      <c r="H395" s="2">
        <v>68</v>
      </c>
      <c r="I395" s="2">
        <v>73</v>
      </c>
      <c r="J395" s="2">
        <v>74</v>
      </c>
      <c r="K395" s="2">
        <v>70</v>
      </c>
      <c r="L395">
        <f t="shared" si="18"/>
        <v>399</v>
      </c>
      <c r="M395" s="4">
        <f t="shared" si="19"/>
        <v>66.5</v>
      </c>
      <c r="N395" t="str" cm="1">
        <f t="array" ref="N395">_xlfn.IFS(M395&gt;=70,"A",M395&gt;=60,"B",M395&gt;=50,"C",M395&gt;=45,"D",M395&gt;=40,"E",TRUE,"F")</f>
        <v>B</v>
      </c>
      <c r="O395">
        <f t="shared" si="20"/>
        <v>12</v>
      </c>
    </row>
    <row r="396" spans="1:15" x14ac:dyDescent="0.35">
      <c r="A396" s="2" t="s">
        <v>382</v>
      </c>
      <c r="B396" s="2" t="s">
        <v>383</v>
      </c>
      <c r="C396" s="2" t="s">
        <v>18</v>
      </c>
      <c r="D396" s="2" t="s">
        <v>351</v>
      </c>
      <c r="E396" s="2" t="s">
        <v>17</v>
      </c>
      <c r="F396" s="2">
        <v>57</v>
      </c>
      <c r="G396" s="2">
        <v>70</v>
      </c>
      <c r="H396" s="2">
        <v>64</v>
      </c>
      <c r="I396" s="2">
        <v>79</v>
      </c>
      <c r="J396" s="2">
        <v>81</v>
      </c>
      <c r="K396" s="2">
        <v>71</v>
      </c>
      <c r="L396">
        <f t="shared" si="18"/>
        <v>422</v>
      </c>
      <c r="M396" s="4">
        <f t="shared" si="19"/>
        <v>70.333333333333329</v>
      </c>
      <c r="N396" t="str" cm="1">
        <f t="array" ref="N396">_xlfn.IFS(M396&gt;=70,"A",M396&gt;=60,"B",M396&gt;=50,"C",M396&gt;=45,"D",M396&gt;=40,"E",TRUE,"F")</f>
        <v>A</v>
      </c>
      <c r="O396">
        <f t="shared" si="20"/>
        <v>11</v>
      </c>
    </row>
    <row r="397" spans="1:15" x14ac:dyDescent="0.35">
      <c r="A397" s="2" t="s">
        <v>382</v>
      </c>
      <c r="B397" s="2" t="s">
        <v>383</v>
      </c>
      <c r="C397" s="2" t="s">
        <v>18</v>
      </c>
      <c r="D397" s="2" t="s">
        <v>351</v>
      </c>
      <c r="E397" s="2" t="s">
        <v>20</v>
      </c>
      <c r="F397" s="2">
        <v>52</v>
      </c>
      <c r="G397" s="2">
        <v>71</v>
      </c>
      <c r="H397" s="2">
        <v>63</v>
      </c>
      <c r="I397" s="2">
        <v>78</v>
      </c>
      <c r="J397" s="2">
        <v>78</v>
      </c>
      <c r="K397" s="2">
        <v>68</v>
      </c>
      <c r="L397">
        <f t="shared" si="18"/>
        <v>410</v>
      </c>
      <c r="M397" s="4">
        <f t="shared" si="19"/>
        <v>68.333333333333329</v>
      </c>
      <c r="N397" t="str" cm="1">
        <f t="array" ref="N397">_xlfn.IFS(M397&gt;=70,"A",M397&gt;=60,"B",M397&gt;=50,"C",M397&gt;=45,"D",M397&gt;=40,"E",TRUE,"F")</f>
        <v>B</v>
      </c>
      <c r="O397">
        <f t="shared" si="20"/>
        <v>16</v>
      </c>
    </row>
    <row r="398" spans="1:15" x14ac:dyDescent="0.35">
      <c r="A398" s="2" t="s">
        <v>386</v>
      </c>
      <c r="B398" s="2" t="s">
        <v>387</v>
      </c>
      <c r="C398" s="2" t="s">
        <v>18</v>
      </c>
      <c r="D398" s="2" t="s">
        <v>351</v>
      </c>
      <c r="E398" s="2" t="s">
        <v>20</v>
      </c>
      <c r="F398" s="2">
        <v>63</v>
      </c>
      <c r="G398" s="2">
        <v>70</v>
      </c>
      <c r="H398" s="2">
        <v>69</v>
      </c>
      <c r="I398" s="2">
        <v>72</v>
      </c>
      <c r="J398" s="2">
        <v>77</v>
      </c>
      <c r="K398" s="2">
        <v>75</v>
      </c>
      <c r="L398">
        <f t="shared" si="18"/>
        <v>426</v>
      </c>
      <c r="M398" s="4">
        <f t="shared" si="19"/>
        <v>71</v>
      </c>
      <c r="N398" t="str" cm="1">
        <f t="array" ref="N398">_xlfn.IFS(M398&gt;=70,"A",M398&gt;=60,"B",M398&gt;=50,"C",M398&gt;=45,"D",M398&gt;=40,"E",TRUE,"F")</f>
        <v>A</v>
      </c>
      <c r="O398">
        <f t="shared" si="20"/>
        <v>11</v>
      </c>
    </row>
    <row r="399" spans="1:15" x14ac:dyDescent="0.35">
      <c r="A399" s="2" t="s">
        <v>386</v>
      </c>
      <c r="B399" s="2" t="s">
        <v>387</v>
      </c>
      <c r="C399" s="2" t="s">
        <v>18</v>
      </c>
      <c r="D399" s="2" t="s">
        <v>351</v>
      </c>
      <c r="E399" s="2" t="s">
        <v>15</v>
      </c>
      <c r="F399" s="2">
        <v>61</v>
      </c>
      <c r="G399" s="2">
        <v>70</v>
      </c>
      <c r="H399" s="2">
        <v>61</v>
      </c>
      <c r="I399" s="2">
        <v>67</v>
      </c>
      <c r="J399" s="2">
        <v>60</v>
      </c>
      <c r="K399" s="2">
        <v>60</v>
      </c>
      <c r="L399">
        <f t="shared" si="18"/>
        <v>379</v>
      </c>
      <c r="M399" s="4">
        <f t="shared" si="19"/>
        <v>63.166666666666664</v>
      </c>
      <c r="N399" t="str" cm="1">
        <f t="array" ref="N399">_xlfn.IFS(M399&gt;=70,"A",M399&gt;=60,"B",M399&gt;=50,"C",M399&gt;=45,"D",M399&gt;=40,"E",TRUE,"F")</f>
        <v>B</v>
      </c>
      <c r="O399">
        <f t="shared" si="20"/>
        <v>18</v>
      </c>
    </row>
    <row r="400" spans="1:15" x14ac:dyDescent="0.35">
      <c r="A400" s="2" t="s">
        <v>386</v>
      </c>
      <c r="B400" s="2" t="s">
        <v>387</v>
      </c>
      <c r="C400" s="2" t="s">
        <v>18</v>
      </c>
      <c r="D400" s="2" t="s">
        <v>351</v>
      </c>
      <c r="E400" s="2" t="s">
        <v>17</v>
      </c>
      <c r="F400" s="2">
        <v>69</v>
      </c>
      <c r="G400" s="2">
        <v>68</v>
      </c>
      <c r="H400" s="2">
        <v>64</v>
      </c>
      <c r="I400" s="2">
        <v>69</v>
      </c>
      <c r="J400" s="2">
        <v>76</v>
      </c>
      <c r="K400" s="2">
        <v>71</v>
      </c>
      <c r="L400">
        <f t="shared" si="18"/>
        <v>417</v>
      </c>
      <c r="M400" s="4">
        <f t="shared" si="19"/>
        <v>69.5</v>
      </c>
      <c r="N400" t="str" cm="1">
        <f t="array" ref="N400">_xlfn.IFS(M400&gt;=70,"A",M400&gt;=60,"B",M400&gt;=50,"C",M400&gt;=45,"D",M400&gt;=40,"E",TRUE,"F")</f>
        <v>B</v>
      </c>
      <c r="O400">
        <f t="shared" si="20"/>
        <v>12</v>
      </c>
    </row>
    <row r="401" spans="1:15" x14ac:dyDescent="0.35">
      <c r="A401" s="2" t="s">
        <v>389</v>
      </c>
      <c r="B401" s="2" t="s">
        <v>390</v>
      </c>
      <c r="C401" s="2" t="s">
        <v>18</v>
      </c>
      <c r="D401" s="2" t="s">
        <v>351</v>
      </c>
      <c r="E401" s="2" t="s">
        <v>15</v>
      </c>
      <c r="F401" s="2">
        <v>53</v>
      </c>
      <c r="G401" s="2">
        <v>76</v>
      </c>
      <c r="H401" s="2">
        <v>60</v>
      </c>
      <c r="I401" s="2">
        <v>77</v>
      </c>
      <c r="J401" s="2">
        <v>59</v>
      </c>
      <c r="K401" s="2">
        <v>73</v>
      </c>
      <c r="L401">
        <f t="shared" si="18"/>
        <v>398</v>
      </c>
      <c r="M401" s="4">
        <f t="shared" si="19"/>
        <v>66.333333333333329</v>
      </c>
      <c r="N401" t="str" cm="1">
        <f t="array" ref="N401">_xlfn.IFS(M401&gt;=70,"A",M401&gt;=60,"B",M401&gt;=50,"C",M401&gt;=45,"D",M401&gt;=40,"E",TRUE,"F")</f>
        <v>B</v>
      </c>
      <c r="O401">
        <f t="shared" si="20"/>
        <v>14</v>
      </c>
    </row>
    <row r="402" spans="1:15" x14ac:dyDescent="0.35">
      <c r="A402" s="2" t="s">
        <v>389</v>
      </c>
      <c r="B402" s="2" t="s">
        <v>390</v>
      </c>
      <c r="C402" s="2" t="s">
        <v>18</v>
      </c>
      <c r="D402" s="2" t="s">
        <v>351</v>
      </c>
      <c r="E402" s="2" t="s">
        <v>17</v>
      </c>
      <c r="F402" s="2">
        <v>59</v>
      </c>
      <c r="G402" s="2">
        <v>77</v>
      </c>
      <c r="H402" s="2">
        <v>60</v>
      </c>
      <c r="I402" s="2">
        <v>80</v>
      </c>
      <c r="J402" s="2">
        <v>65</v>
      </c>
      <c r="K402" s="2">
        <v>71</v>
      </c>
      <c r="L402">
        <f t="shared" si="18"/>
        <v>412</v>
      </c>
      <c r="M402" s="4">
        <f t="shared" si="19"/>
        <v>68.666666666666671</v>
      </c>
      <c r="N402" t="str" cm="1">
        <f t="array" ref="N402">_xlfn.IFS(M402&gt;=70,"A",M402&gt;=60,"B",M402&gt;=50,"C",M402&gt;=45,"D",M402&gt;=40,"E",TRUE,"F")</f>
        <v>B</v>
      </c>
      <c r="O402">
        <f t="shared" si="20"/>
        <v>13</v>
      </c>
    </row>
    <row r="403" spans="1:15" x14ac:dyDescent="0.35">
      <c r="A403" s="2" t="s">
        <v>389</v>
      </c>
      <c r="B403" s="2" t="s">
        <v>390</v>
      </c>
      <c r="C403" s="2" t="s">
        <v>18</v>
      </c>
      <c r="D403" s="2" t="s">
        <v>351</v>
      </c>
      <c r="E403" s="2" t="s">
        <v>20</v>
      </c>
      <c r="F403" s="2">
        <v>54</v>
      </c>
      <c r="G403" s="2">
        <v>68</v>
      </c>
      <c r="H403" s="2">
        <v>64</v>
      </c>
      <c r="I403" s="2">
        <v>63</v>
      </c>
      <c r="J403" s="2">
        <v>59</v>
      </c>
      <c r="K403" s="2">
        <v>80</v>
      </c>
      <c r="L403">
        <f t="shared" si="18"/>
        <v>388</v>
      </c>
      <c r="M403" s="4">
        <f t="shared" si="19"/>
        <v>64.666666666666671</v>
      </c>
      <c r="N403" t="str" cm="1">
        <f t="array" ref="N403">_xlfn.IFS(M403&gt;=70,"A",M403&gt;=60,"B",M403&gt;=50,"C",M403&gt;=45,"D",M403&gt;=40,"E",TRUE,"F")</f>
        <v>B</v>
      </c>
      <c r="O403">
        <f t="shared" si="20"/>
        <v>20</v>
      </c>
    </row>
    <row r="404" spans="1:15" x14ac:dyDescent="0.35">
      <c r="A404" s="2" t="s">
        <v>391</v>
      </c>
      <c r="B404" s="2" t="s">
        <v>392</v>
      </c>
      <c r="C404" s="2" t="s">
        <v>23</v>
      </c>
      <c r="D404" s="2" t="s">
        <v>351</v>
      </c>
      <c r="E404" s="2" t="s">
        <v>15</v>
      </c>
      <c r="F404" s="2">
        <v>59</v>
      </c>
      <c r="G404" s="2">
        <v>57</v>
      </c>
      <c r="H404" s="2">
        <v>59</v>
      </c>
      <c r="I404" s="2">
        <v>60</v>
      </c>
      <c r="J404" s="2">
        <v>65</v>
      </c>
      <c r="K404" s="2">
        <v>70</v>
      </c>
      <c r="L404">
        <f t="shared" si="18"/>
        <v>370</v>
      </c>
      <c r="M404" s="4">
        <f t="shared" si="19"/>
        <v>61.666666666666664</v>
      </c>
      <c r="N404" t="str" cm="1">
        <f t="array" ref="N404">_xlfn.IFS(M404&gt;=70,"A",M404&gt;=60,"B",M404&gt;=50,"C",M404&gt;=45,"D",M404&gt;=40,"E",TRUE,"F")</f>
        <v>B</v>
      </c>
      <c r="O404">
        <f t="shared" si="20"/>
        <v>22</v>
      </c>
    </row>
    <row r="405" spans="1:15" x14ac:dyDescent="0.35">
      <c r="A405" s="2" t="s">
        <v>391</v>
      </c>
      <c r="B405" s="2" t="s">
        <v>392</v>
      </c>
      <c r="C405" s="2" t="s">
        <v>23</v>
      </c>
      <c r="D405" s="2" t="s">
        <v>351</v>
      </c>
      <c r="E405" s="2" t="s">
        <v>17</v>
      </c>
      <c r="F405" s="2">
        <v>58</v>
      </c>
      <c r="G405" s="2">
        <v>58</v>
      </c>
      <c r="H405" s="2">
        <v>58</v>
      </c>
      <c r="I405" s="2">
        <v>68</v>
      </c>
      <c r="J405" s="2">
        <v>61</v>
      </c>
      <c r="K405" s="2">
        <v>63</v>
      </c>
      <c r="L405">
        <f t="shared" si="18"/>
        <v>366</v>
      </c>
      <c r="M405" s="4">
        <f t="shared" si="19"/>
        <v>61</v>
      </c>
      <c r="N405" t="str" cm="1">
        <f t="array" ref="N405">_xlfn.IFS(M405&gt;=70,"A",M405&gt;=60,"B",M405&gt;=50,"C",M405&gt;=45,"D",M405&gt;=40,"E",TRUE,"F")</f>
        <v>B</v>
      </c>
      <c r="O405">
        <f t="shared" si="20"/>
        <v>23</v>
      </c>
    </row>
    <row r="406" spans="1:15" x14ac:dyDescent="0.35">
      <c r="A406" s="2" t="s">
        <v>391</v>
      </c>
      <c r="B406" s="2" t="s">
        <v>392</v>
      </c>
      <c r="C406" s="2" t="s">
        <v>23</v>
      </c>
      <c r="D406" s="2" t="s">
        <v>351</v>
      </c>
      <c r="E406" s="2" t="s">
        <v>20</v>
      </c>
      <c r="F406" s="2">
        <v>55</v>
      </c>
      <c r="G406" s="2">
        <v>64</v>
      </c>
      <c r="H406" s="2">
        <v>56</v>
      </c>
      <c r="I406" s="2">
        <v>69</v>
      </c>
      <c r="J406" s="2">
        <v>64</v>
      </c>
      <c r="K406" s="2">
        <v>62</v>
      </c>
      <c r="L406">
        <f t="shared" si="18"/>
        <v>370</v>
      </c>
      <c r="M406" s="4">
        <f t="shared" si="19"/>
        <v>61.666666666666664</v>
      </c>
      <c r="N406" t="str" cm="1">
        <f t="array" ref="N406">_xlfn.IFS(M406&gt;=70,"A",M406&gt;=60,"B",M406&gt;=50,"C",M406&gt;=45,"D",M406&gt;=40,"E",TRUE,"F")</f>
        <v>B</v>
      </c>
      <c r="O406">
        <f t="shared" si="20"/>
        <v>24</v>
      </c>
    </row>
    <row r="407" spans="1:15" x14ac:dyDescent="0.35">
      <c r="A407" s="2" t="s">
        <v>393</v>
      </c>
      <c r="B407" s="2" t="s">
        <v>395</v>
      </c>
      <c r="C407" s="2" t="s">
        <v>23</v>
      </c>
      <c r="D407" s="2" t="s">
        <v>351</v>
      </c>
      <c r="E407" s="2" t="s">
        <v>20</v>
      </c>
      <c r="F407" s="2">
        <v>76</v>
      </c>
      <c r="G407" s="2">
        <v>87</v>
      </c>
      <c r="H407" s="2">
        <v>81</v>
      </c>
      <c r="I407" s="2">
        <v>86</v>
      </c>
      <c r="J407" s="2">
        <v>83</v>
      </c>
      <c r="K407" s="2">
        <v>90</v>
      </c>
      <c r="L407">
        <f t="shared" si="18"/>
        <v>503</v>
      </c>
      <c r="M407" s="4">
        <f t="shared" si="19"/>
        <v>83.833333333333329</v>
      </c>
      <c r="N407" t="str" cm="1">
        <f t="array" ref="N407">_xlfn.IFS(M407&gt;=70,"A",M407&gt;=60,"B",M407&gt;=50,"C",M407&gt;=45,"D",M407&gt;=40,"E",TRUE,"F")</f>
        <v>A</v>
      </c>
      <c r="O407">
        <f t="shared" si="20"/>
        <v>4</v>
      </c>
    </row>
    <row r="408" spans="1:15" x14ac:dyDescent="0.35">
      <c r="A408" s="2" t="s">
        <v>393</v>
      </c>
      <c r="B408" s="2" t="s">
        <v>395</v>
      </c>
      <c r="C408" s="2" t="s">
        <v>23</v>
      </c>
      <c r="D408" s="2" t="s">
        <v>351</v>
      </c>
      <c r="E408" s="2" t="s">
        <v>15</v>
      </c>
      <c r="F408" s="2">
        <v>63</v>
      </c>
      <c r="G408" s="2">
        <v>58</v>
      </c>
      <c r="H408" s="2">
        <v>54</v>
      </c>
      <c r="I408" s="2">
        <v>74</v>
      </c>
      <c r="J408" s="2">
        <v>60</v>
      </c>
      <c r="K408" s="2">
        <v>69</v>
      </c>
      <c r="L408">
        <f t="shared" si="18"/>
        <v>378</v>
      </c>
      <c r="M408" s="4">
        <f t="shared" si="19"/>
        <v>63</v>
      </c>
      <c r="N408" t="str" cm="1">
        <f t="array" ref="N408">_xlfn.IFS(M408&gt;=70,"A",M408&gt;=60,"B",M408&gt;=50,"C",M408&gt;=45,"D",M408&gt;=40,"E",TRUE,"F")</f>
        <v>B</v>
      </c>
      <c r="O408">
        <f t="shared" si="20"/>
        <v>19</v>
      </c>
    </row>
    <row r="409" spans="1:15" x14ac:dyDescent="0.35">
      <c r="A409" s="2" t="s">
        <v>393</v>
      </c>
      <c r="B409" s="2" t="s">
        <v>395</v>
      </c>
      <c r="C409" s="2" t="s">
        <v>23</v>
      </c>
      <c r="D409" s="2" t="s">
        <v>351</v>
      </c>
      <c r="E409" s="2" t="s">
        <v>17</v>
      </c>
      <c r="F409" s="2">
        <v>77</v>
      </c>
      <c r="G409" s="2">
        <v>78</v>
      </c>
      <c r="H409" s="2">
        <v>68</v>
      </c>
      <c r="I409" s="2">
        <v>79</v>
      </c>
      <c r="J409" s="2">
        <v>70</v>
      </c>
      <c r="K409" s="2">
        <v>74</v>
      </c>
      <c r="L409">
        <f t="shared" si="18"/>
        <v>446</v>
      </c>
      <c r="M409" s="4">
        <f t="shared" si="19"/>
        <v>74.333333333333329</v>
      </c>
      <c r="N409" t="str" cm="1">
        <f t="array" ref="N409">_xlfn.IFS(M409&gt;=70,"A",M409&gt;=60,"B",M409&gt;=50,"C",M409&gt;=45,"D",M409&gt;=40,"E",TRUE,"F")</f>
        <v>A</v>
      </c>
      <c r="O409">
        <f t="shared" si="20"/>
        <v>6</v>
      </c>
    </row>
    <row r="410" spans="1:15" x14ac:dyDescent="0.35">
      <c r="A410" s="2" t="s">
        <v>397</v>
      </c>
      <c r="B410" s="2" t="s">
        <v>398</v>
      </c>
      <c r="C410" s="2" t="s">
        <v>23</v>
      </c>
      <c r="D410" s="2" t="s">
        <v>351</v>
      </c>
      <c r="E410" s="2" t="s">
        <v>20</v>
      </c>
      <c r="F410" s="2">
        <v>67</v>
      </c>
      <c r="G410" s="2">
        <v>78</v>
      </c>
      <c r="H410" s="2">
        <v>78</v>
      </c>
      <c r="I410" s="2">
        <v>80</v>
      </c>
      <c r="J410" s="2">
        <v>75</v>
      </c>
      <c r="K410" s="2">
        <v>94</v>
      </c>
      <c r="L410">
        <f t="shared" si="18"/>
        <v>472</v>
      </c>
      <c r="M410" s="4">
        <f t="shared" si="19"/>
        <v>78.666666666666671</v>
      </c>
      <c r="N410" t="str" cm="1">
        <f t="array" ref="N410">_xlfn.IFS(M410&gt;=70,"A",M410&gt;=60,"B",M410&gt;=50,"C",M410&gt;=45,"D",M410&gt;=40,"E",TRUE,"F")</f>
        <v>A</v>
      </c>
      <c r="O410">
        <f t="shared" si="20"/>
        <v>6</v>
      </c>
    </row>
    <row r="411" spans="1:15" x14ac:dyDescent="0.35">
      <c r="A411" s="2" t="s">
        <v>397</v>
      </c>
      <c r="B411" s="2" t="s">
        <v>398</v>
      </c>
      <c r="C411" s="2" t="s">
        <v>23</v>
      </c>
      <c r="D411" s="2" t="s">
        <v>351</v>
      </c>
      <c r="E411" s="2" t="s">
        <v>15</v>
      </c>
      <c r="F411" s="2">
        <v>67</v>
      </c>
      <c r="G411" s="2">
        <v>75</v>
      </c>
      <c r="H411" s="2">
        <v>68</v>
      </c>
      <c r="I411" s="2">
        <v>71</v>
      </c>
      <c r="J411" s="2">
        <v>74</v>
      </c>
      <c r="K411" s="2">
        <v>77</v>
      </c>
      <c r="L411">
        <f t="shared" si="18"/>
        <v>432</v>
      </c>
      <c r="M411" s="4">
        <f t="shared" si="19"/>
        <v>72</v>
      </c>
      <c r="N411" t="str" cm="1">
        <f t="array" ref="N411">_xlfn.IFS(M411&gt;=70,"A",M411&gt;=60,"B",M411&gt;=50,"C",M411&gt;=45,"D",M411&gt;=40,"E",TRUE,"F")</f>
        <v>A</v>
      </c>
      <c r="O411">
        <f t="shared" si="20"/>
        <v>8</v>
      </c>
    </row>
    <row r="412" spans="1:15" x14ac:dyDescent="0.35">
      <c r="A412" s="2" t="s">
        <v>397</v>
      </c>
      <c r="B412" s="2" t="s">
        <v>398</v>
      </c>
      <c r="C412" s="2" t="s">
        <v>23</v>
      </c>
      <c r="D412" s="2" t="s">
        <v>351</v>
      </c>
      <c r="E412" s="2" t="s">
        <v>17</v>
      </c>
      <c r="F412" s="2">
        <v>63</v>
      </c>
      <c r="G412" s="2">
        <v>70</v>
      </c>
      <c r="H412" s="2">
        <v>66</v>
      </c>
      <c r="I412" s="2">
        <v>71</v>
      </c>
      <c r="J412" s="2">
        <v>90</v>
      </c>
      <c r="K412" s="2">
        <v>84</v>
      </c>
      <c r="L412">
        <f t="shared" si="18"/>
        <v>444</v>
      </c>
      <c r="M412" s="4">
        <f t="shared" si="19"/>
        <v>74</v>
      </c>
      <c r="N412" t="str" cm="1">
        <f t="array" ref="N412">_xlfn.IFS(M412&gt;=70,"A",M412&gt;=60,"B",M412&gt;=50,"C",M412&gt;=45,"D",M412&gt;=40,"E",TRUE,"F")</f>
        <v>A</v>
      </c>
      <c r="O412">
        <f t="shared" si="20"/>
        <v>7</v>
      </c>
    </row>
    <row r="413" spans="1:15" x14ac:dyDescent="0.35">
      <c r="A413" s="2" t="s">
        <v>399</v>
      </c>
      <c r="B413" s="2" t="s">
        <v>400</v>
      </c>
      <c r="C413" s="2" t="s">
        <v>18</v>
      </c>
      <c r="D413" s="2" t="s">
        <v>351</v>
      </c>
      <c r="E413" s="2" t="s">
        <v>15</v>
      </c>
      <c r="F413" s="2">
        <v>34</v>
      </c>
      <c r="G413" s="2">
        <v>54</v>
      </c>
      <c r="H413" s="2">
        <v>46</v>
      </c>
      <c r="I413" s="2">
        <v>45</v>
      </c>
      <c r="J413" s="2">
        <v>51</v>
      </c>
      <c r="K413" s="2">
        <v>41</v>
      </c>
      <c r="L413">
        <f t="shared" si="18"/>
        <v>271</v>
      </c>
      <c r="M413" s="4">
        <f t="shared" si="19"/>
        <v>45.166666666666664</v>
      </c>
      <c r="N413" t="str" cm="1">
        <f t="array" ref="N413">_xlfn.IFS(M413&gt;=70,"A",M413&gt;=60,"B",M413&gt;=50,"C",M413&gt;=45,"D",M413&gt;=40,"E",TRUE,"F")</f>
        <v>D</v>
      </c>
      <c r="O413">
        <f t="shared" si="20"/>
        <v>37</v>
      </c>
    </row>
    <row r="414" spans="1:15" x14ac:dyDescent="0.35">
      <c r="A414" s="2" t="s">
        <v>399</v>
      </c>
      <c r="B414" s="2" t="s">
        <v>400</v>
      </c>
      <c r="C414" s="2" t="s">
        <v>18</v>
      </c>
      <c r="D414" s="2" t="s">
        <v>351</v>
      </c>
      <c r="E414" s="2" t="s">
        <v>17</v>
      </c>
      <c r="F414" s="2">
        <v>43</v>
      </c>
      <c r="G414" s="2">
        <v>52</v>
      </c>
      <c r="H414" s="2">
        <v>41</v>
      </c>
      <c r="I414" s="2">
        <v>52</v>
      </c>
      <c r="J414" s="2">
        <v>33</v>
      </c>
      <c r="K414" s="2">
        <v>49</v>
      </c>
      <c r="L414">
        <f t="shared" si="18"/>
        <v>270</v>
      </c>
      <c r="M414" s="4">
        <f t="shared" si="19"/>
        <v>45</v>
      </c>
      <c r="N414" t="str" cm="1">
        <f t="array" ref="N414">_xlfn.IFS(M414&gt;=70,"A",M414&gt;=60,"B",M414&gt;=50,"C",M414&gt;=45,"D",M414&gt;=40,"E",TRUE,"F")</f>
        <v>D</v>
      </c>
      <c r="O414">
        <f t="shared" si="20"/>
        <v>39</v>
      </c>
    </row>
    <row r="415" spans="1:15" x14ac:dyDescent="0.35">
      <c r="A415" s="2" t="s">
        <v>399</v>
      </c>
      <c r="B415" s="2" t="s">
        <v>400</v>
      </c>
      <c r="C415" s="2" t="s">
        <v>18</v>
      </c>
      <c r="D415" s="2" t="s">
        <v>351</v>
      </c>
      <c r="E415" s="2" t="s">
        <v>20</v>
      </c>
      <c r="F415" s="2">
        <v>31</v>
      </c>
      <c r="G415" s="2">
        <v>52</v>
      </c>
      <c r="H415" s="2">
        <v>45</v>
      </c>
      <c r="I415" s="2">
        <v>49</v>
      </c>
      <c r="J415" s="2">
        <v>49</v>
      </c>
      <c r="K415" s="2">
        <v>50</v>
      </c>
      <c r="L415">
        <f t="shared" si="18"/>
        <v>276</v>
      </c>
      <c r="M415" s="4">
        <f t="shared" si="19"/>
        <v>46</v>
      </c>
      <c r="N415" t="str" cm="1">
        <f t="array" ref="N415">_xlfn.IFS(M415&gt;=70,"A",M415&gt;=60,"B",M415&gt;=50,"C",M415&gt;=45,"D",M415&gt;=40,"E",TRUE,"F")</f>
        <v>D</v>
      </c>
      <c r="O415">
        <f t="shared" si="20"/>
        <v>38</v>
      </c>
    </row>
    <row r="416" spans="1:15" x14ac:dyDescent="0.35">
      <c r="A416" s="2" t="s">
        <v>401</v>
      </c>
      <c r="B416" s="2" t="s">
        <v>403</v>
      </c>
      <c r="C416" s="2" t="s">
        <v>23</v>
      </c>
      <c r="D416" s="2" t="s">
        <v>351</v>
      </c>
      <c r="E416" s="2" t="s">
        <v>15</v>
      </c>
      <c r="F416" s="2">
        <v>41</v>
      </c>
      <c r="G416" s="2">
        <v>34</v>
      </c>
      <c r="H416" s="2">
        <v>46</v>
      </c>
      <c r="I416" s="2">
        <v>49</v>
      </c>
      <c r="J416" s="2">
        <v>52</v>
      </c>
      <c r="K416" s="2">
        <v>45</v>
      </c>
      <c r="L416">
        <f t="shared" si="18"/>
        <v>267</v>
      </c>
      <c r="M416" s="4">
        <f t="shared" si="19"/>
        <v>44.5</v>
      </c>
      <c r="N416" t="str" cm="1">
        <f t="array" ref="N416">_xlfn.IFS(M416&gt;=70,"A",M416&gt;=60,"B",M416&gt;=50,"C",M416&gt;=45,"D",M416&gt;=40,"E",TRUE,"F")</f>
        <v>E</v>
      </c>
      <c r="O416">
        <f t="shared" si="20"/>
        <v>38</v>
      </c>
    </row>
    <row r="417" spans="1:15" x14ac:dyDescent="0.35">
      <c r="A417" s="2" t="s">
        <v>401</v>
      </c>
      <c r="B417" s="2" t="s">
        <v>403</v>
      </c>
      <c r="C417" s="2" t="s">
        <v>23</v>
      </c>
      <c r="D417" s="2" t="s">
        <v>351</v>
      </c>
      <c r="E417" s="2" t="s">
        <v>17</v>
      </c>
      <c r="F417" s="2">
        <v>49</v>
      </c>
      <c r="G417" s="2">
        <v>55</v>
      </c>
      <c r="H417" s="2">
        <v>49</v>
      </c>
      <c r="I417" s="2">
        <v>58</v>
      </c>
      <c r="J417" s="2">
        <v>48</v>
      </c>
      <c r="K417" s="2">
        <v>53</v>
      </c>
      <c r="L417">
        <f t="shared" si="18"/>
        <v>312</v>
      </c>
      <c r="M417" s="4">
        <f t="shared" si="19"/>
        <v>52</v>
      </c>
      <c r="N417" t="str" cm="1">
        <f t="array" ref="N417">_xlfn.IFS(M417&gt;=70,"A",M417&gt;=60,"B",M417&gt;=50,"C",M417&gt;=45,"D",M417&gt;=40,"E",TRUE,"F")</f>
        <v>C</v>
      </c>
      <c r="O417">
        <f t="shared" si="20"/>
        <v>35</v>
      </c>
    </row>
    <row r="418" spans="1:15" x14ac:dyDescent="0.35">
      <c r="A418" s="2" t="s">
        <v>401</v>
      </c>
      <c r="B418" s="2" t="s">
        <v>403</v>
      </c>
      <c r="C418" s="2" t="s">
        <v>23</v>
      </c>
      <c r="D418" s="2" t="s">
        <v>351</v>
      </c>
      <c r="E418" s="2" t="s">
        <v>20</v>
      </c>
      <c r="F418" s="2">
        <v>57</v>
      </c>
      <c r="G418" s="2">
        <v>68</v>
      </c>
      <c r="H418" s="2">
        <v>40</v>
      </c>
      <c r="I418" s="2">
        <v>63</v>
      </c>
      <c r="J418" s="2">
        <v>49</v>
      </c>
      <c r="K418" s="2">
        <v>61</v>
      </c>
      <c r="L418">
        <f t="shared" si="18"/>
        <v>338</v>
      </c>
      <c r="M418" s="4">
        <f t="shared" si="19"/>
        <v>56.333333333333336</v>
      </c>
      <c r="N418" t="str" cm="1">
        <f t="array" ref="N418">_xlfn.IFS(M418&gt;=70,"A",M418&gt;=60,"B",M418&gt;=50,"C",M418&gt;=45,"D",M418&gt;=40,"E",TRUE,"F")</f>
        <v>C</v>
      </c>
      <c r="O418">
        <f t="shared" si="20"/>
        <v>30</v>
      </c>
    </row>
    <row r="419" spans="1:15" x14ac:dyDescent="0.35">
      <c r="A419" s="2" t="s">
        <v>405</v>
      </c>
      <c r="B419" s="2" t="s">
        <v>406</v>
      </c>
      <c r="C419" s="2" t="s">
        <v>18</v>
      </c>
      <c r="D419" s="2" t="s">
        <v>351</v>
      </c>
      <c r="E419" s="2" t="s">
        <v>15</v>
      </c>
      <c r="F419" s="2">
        <v>45</v>
      </c>
      <c r="G419" s="2">
        <v>57</v>
      </c>
      <c r="H419" s="2">
        <v>51</v>
      </c>
      <c r="I419" s="2">
        <v>61</v>
      </c>
      <c r="J419" s="2">
        <v>64</v>
      </c>
      <c r="K419" s="2">
        <v>59</v>
      </c>
      <c r="L419">
        <f t="shared" si="18"/>
        <v>337</v>
      </c>
      <c r="M419" s="4">
        <f t="shared" si="19"/>
        <v>56.166666666666664</v>
      </c>
      <c r="N419" t="str" cm="1">
        <f t="array" ref="N419">_xlfn.IFS(M419&gt;=70,"A",M419&gt;=60,"B",M419&gt;=50,"C",M419&gt;=45,"D",M419&gt;=40,"E",TRUE,"F")</f>
        <v>C</v>
      </c>
      <c r="O419">
        <f t="shared" si="20"/>
        <v>28</v>
      </c>
    </row>
    <row r="420" spans="1:15" x14ac:dyDescent="0.35">
      <c r="A420" s="2" t="s">
        <v>405</v>
      </c>
      <c r="B420" s="2" t="s">
        <v>406</v>
      </c>
      <c r="C420" s="2" t="s">
        <v>18</v>
      </c>
      <c r="D420" s="2" t="s">
        <v>351</v>
      </c>
      <c r="E420" s="2" t="s">
        <v>17</v>
      </c>
      <c r="F420" s="2">
        <v>61</v>
      </c>
      <c r="G420" s="2">
        <v>60</v>
      </c>
      <c r="H420" s="2">
        <v>65</v>
      </c>
      <c r="I420" s="2">
        <v>74</v>
      </c>
      <c r="J420" s="2">
        <v>68</v>
      </c>
      <c r="K420" s="2">
        <v>70</v>
      </c>
      <c r="L420">
        <f t="shared" si="18"/>
        <v>398</v>
      </c>
      <c r="M420" s="4">
        <f t="shared" si="19"/>
        <v>66.333333333333329</v>
      </c>
      <c r="N420" t="str" cm="1">
        <f t="array" ref="N420">_xlfn.IFS(M420&gt;=70,"A",M420&gt;=60,"B",M420&gt;=50,"C",M420&gt;=45,"D",M420&gt;=40,"E",TRUE,"F")</f>
        <v>B</v>
      </c>
      <c r="O420">
        <f t="shared" si="20"/>
        <v>17</v>
      </c>
    </row>
    <row r="421" spans="1:15" x14ac:dyDescent="0.35">
      <c r="A421" s="2" t="s">
        <v>405</v>
      </c>
      <c r="B421" s="2" t="s">
        <v>406</v>
      </c>
      <c r="C421" s="2" t="s">
        <v>18</v>
      </c>
      <c r="D421" s="2" t="s">
        <v>351</v>
      </c>
      <c r="E421" s="2" t="s">
        <v>20</v>
      </c>
      <c r="F421" s="2">
        <v>51</v>
      </c>
      <c r="G421" s="2">
        <v>64</v>
      </c>
      <c r="H421" s="2">
        <v>63</v>
      </c>
      <c r="I421" s="2">
        <v>71</v>
      </c>
      <c r="J421" s="2">
        <v>63</v>
      </c>
      <c r="K421" s="2">
        <v>66</v>
      </c>
      <c r="L421">
        <f t="shared" si="18"/>
        <v>378</v>
      </c>
      <c r="M421" s="4">
        <f t="shared" si="19"/>
        <v>63</v>
      </c>
      <c r="N421" t="str" cm="1">
        <f t="array" ref="N421">_xlfn.IFS(M421&gt;=70,"A",M421&gt;=60,"B",M421&gt;=50,"C",M421&gt;=45,"D",M421&gt;=40,"E",TRUE,"F")</f>
        <v>B</v>
      </c>
      <c r="O421">
        <f t="shared" si="20"/>
        <v>22</v>
      </c>
    </row>
    <row r="422" spans="1:15" x14ac:dyDescent="0.35">
      <c r="A422" s="2" t="s">
        <v>407</v>
      </c>
      <c r="B422" s="2" t="s">
        <v>408</v>
      </c>
      <c r="C422" s="2" t="s">
        <v>23</v>
      </c>
      <c r="D422" s="2" t="s">
        <v>351</v>
      </c>
      <c r="E422" s="2" t="s">
        <v>15</v>
      </c>
      <c r="F422" s="2">
        <v>43</v>
      </c>
      <c r="G422" s="2">
        <v>51</v>
      </c>
      <c r="H422" s="2">
        <v>54</v>
      </c>
      <c r="I422" s="2">
        <v>62</v>
      </c>
      <c r="J422" s="2">
        <v>57</v>
      </c>
      <c r="K422" s="2">
        <v>53</v>
      </c>
      <c r="L422">
        <f t="shared" si="18"/>
        <v>320</v>
      </c>
      <c r="M422" s="4">
        <f t="shared" si="19"/>
        <v>53.333333333333336</v>
      </c>
      <c r="N422" t="str" cm="1">
        <f t="array" ref="N422">_xlfn.IFS(M422&gt;=70,"A",M422&gt;=60,"B",M422&gt;=50,"C",M422&gt;=45,"D",M422&gt;=40,"E",TRUE,"F")</f>
        <v>C</v>
      </c>
      <c r="O422">
        <f t="shared" si="20"/>
        <v>31</v>
      </c>
    </row>
    <row r="423" spans="1:15" x14ac:dyDescent="0.35">
      <c r="A423" s="2" t="s">
        <v>407</v>
      </c>
      <c r="B423" s="2" t="s">
        <v>408</v>
      </c>
      <c r="C423" s="2" t="s">
        <v>23</v>
      </c>
      <c r="D423" s="2" t="s">
        <v>351</v>
      </c>
      <c r="E423" s="2" t="s">
        <v>17</v>
      </c>
      <c r="F423" s="2">
        <v>48</v>
      </c>
      <c r="G423" s="2">
        <v>44</v>
      </c>
      <c r="H423" s="2">
        <v>49</v>
      </c>
      <c r="I423" s="2">
        <v>65</v>
      </c>
      <c r="J423" s="2">
        <v>64</v>
      </c>
      <c r="K423" s="2">
        <v>53</v>
      </c>
      <c r="L423">
        <f t="shared" si="18"/>
        <v>323</v>
      </c>
      <c r="M423" s="4">
        <f t="shared" si="19"/>
        <v>53.833333333333336</v>
      </c>
      <c r="N423" t="str" cm="1">
        <f t="array" ref="N423">_xlfn.IFS(M423&gt;=70,"A",M423&gt;=60,"B",M423&gt;=50,"C",M423&gt;=45,"D",M423&gt;=40,"E",TRUE,"F")</f>
        <v>C</v>
      </c>
      <c r="O423">
        <f t="shared" si="20"/>
        <v>34</v>
      </c>
    </row>
    <row r="424" spans="1:15" x14ac:dyDescent="0.35">
      <c r="A424" s="2" t="s">
        <v>407</v>
      </c>
      <c r="B424" s="2" t="s">
        <v>408</v>
      </c>
      <c r="C424" s="2" t="s">
        <v>23</v>
      </c>
      <c r="D424" s="2" t="s">
        <v>351</v>
      </c>
      <c r="E424" s="2" t="s">
        <v>20</v>
      </c>
      <c r="F424" s="2">
        <v>51</v>
      </c>
      <c r="G424" s="2">
        <v>47</v>
      </c>
      <c r="H424" s="2">
        <v>44</v>
      </c>
      <c r="I424" s="2">
        <v>42</v>
      </c>
      <c r="J424" s="2">
        <v>58</v>
      </c>
      <c r="K424" s="2">
        <v>58</v>
      </c>
      <c r="L424">
        <f t="shared" si="18"/>
        <v>300</v>
      </c>
      <c r="M424" s="4">
        <f t="shared" si="19"/>
        <v>50</v>
      </c>
      <c r="N424" t="str" cm="1">
        <f t="array" ref="N424">_xlfn.IFS(M424&gt;=70,"A",M424&gt;=60,"B",M424&gt;=50,"C",M424&gt;=45,"D",M424&gt;=40,"E",TRUE,"F")</f>
        <v>C</v>
      </c>
      <c r="O424">
        <f t="shared" si="20"/>
        <v>34</v>
      </c>
    </row>
    <row r="425" spans="1:15" x14ac:dyDescent="0.35">
      <c r="A425" s="2" t="s">
        <v>409</v>
      </c>
      <c r="B425" s="2" t="s">
        <v>410</v>
      </c>
      <c r="C425" s="2" t="s">
        <v>23</v>
      </c>
      <c r="D425" s="2" t="s">
        <v>351</v>
      </c>
      <c r="E425" s="2" t="s">
        <v>20</v>
      </c>
      <c r="F425" s="2">
        <v>69</v>
      </c>
      <c r="G425" s="2">
        <v>71</v>
      </c>
      <c r="H425" s="2">
        <v>79</v>
      </c>
      <c r="I425" s="2">
        <v>79</v>
      </c>
      <c r="J425" s="2">
        <v>65</v>
      </c>
      <c r="K425" s="2">
        <v>85</v>
      </c>
      <c r="L425">
        <f t="shared" si="18"/>
        <v>448</v>
      </c>
      <c r="M425" s="4">
        <f t="shared" si="19"/>
        <v>74.666666666666671</v>
      </c>
      <c r="N425" t="str" cm="1">
        <f t="array" ref="N425">_xlfn.IFS(M425&gt;=70,"A",M425&gt;=60,"B",M425&gt;=50,"C",M425&gt;=45,"D",M425&gt;=40,"E",TRUE,"F")</f>
        <v>A</v>
      </c>
      <c r="O425">
        <f t="shared" si="20"/>
        <v>9</v>
      </c>
    </row>
    <row r="426" spans="1:15" x14ac:dyDescent="0.35">
      <c r="A426" s="2" t="s">
        <v>409</v>
      </c>
      <c r="B426" s="2" t="s">
        <v>410</v>
      </c>
      <c r="C426" s="2" t="s">
        <v>23</v>
      </c>
      <c r="D426" s="2" t="s">
        <v>351</v>
      </c>
      <c r="E426" s="2" t="s">
        <v>15</v>
      </c>
      <c r="F426" s="2">
        <v>61</v>
      </c>
      <c r="G426" s="2">
        <v>65</v>
      </c>
      <c r="H426" s="2">
        <v>56</v>
      </c>
      <c r="I426" s="2">
        <v>69</v>
      </c>
      <c r="J426" s="2">
        <v>77</v>
      </c>
      <c r="K426" s="2">
        <v>82</v>
      </c>
      <c r="L426">
        <f t="shared" si="18"/>
        <v>410</v>
      </c>
      <c r="M426" s="4">
        <f t="shared" si="19"/>
        <v>68.333333333333329</v>
      </c>
      <c r="N426" t="str" cm="1">
        <f t="array" ref="N426">_xlfn.IFS(M426&gt;=70,"A",M426&gt;=60,"B",M426&gt;=50,"C",M426&gt;=45,"D",M426&gt;=40,"E",TRUE,"F")</f>
        <v>B</v>
      </c>
      <c r="O426">
        <f t="shared" si="20"/>
        <v>9</v>
      </c>
    </row>
    <row r="427" spans="1:15" x14ac:dyDescent="0.35">
      <c r="A427" s="2" t="s">
        <v>409</v>
      </c>
      <c r="B427" s="2" t="s">
        <v>410</v>
      </c>
      <c r="C427" s="2" t="s">
        <v>23</v>
      </c>
      <c r="D427" s="2" t="s">
        <v>351</v>
      </c>
      <c r="E427" s="2" t="s">
        <v>17</v>
      </c>
      <c r="F427" s="2">
        <v>64</v>
      </c>
      <c r="G427" s="2">
        <v>67</v>
      </c>
      <c r="H427" s="2">
        <v>66</v>
      </c>
      <c r="I427" s="2">
        <v>68</v>
      </c>
      <c r="J427" s="2">
        <v>65</v>
      </c>
      <c r="K427" s="2">
        <v>82</v>
      </c>
      <c r="L427">
        <f t="shared" si="18"/>
        <v>412</v>
      </c>
      <c r="M427" s="4">
        <f t="shared" si="19"/>
        <v>68.666666666666671</v>
      </c>
      <c r="N427" t="str" cm="1">
        <f t="array" ref="N427">_xlfn.IFS(M427&gt;=70,"A",M427&gt;=60,"B",M427&gt;=50,"C",M427&gt;=45,"D",M427&gt;=40,"E",TRUE,"F")</f>
        <v>B</v>
      </c>
      <c r="O427">
        <f t="shared" si="20"/>
        <v>13</v>
      </c>
    </row>
    <row r="428" spans="1:15" x14ac:dyDescent="0.35">
      <c r="A428" s="2" t="s">
        <v>411</v>
      </c>
      <c r="B428" s="2" t="s">
        <v>412</v>
      </c>
      <c r="C428" s="2" t="s">
        <v>18</v>
      </c>
      <c r="D428" s="2" t="s">
        <v>351</v>
      </c>
      <c r="E428" s="2" t="s">
        <v>20</v>
      </c>
      <c r="F428" s="2">
        <v>81</v>
      </c>
      <c r="G428" s="2">
        <v>57</v>
      </c>
      <c r="H428" s="2">
        <v>64</v>
      </c>
      <c r="I428" s="2">
        <v>64</v>
      </c>
      <c r="J428" s="2">
        <v>64</v>
      </c>
      <c r="K428" s="2">
        <v>66</v>
      </c>
      <c r="L428">
        <f t="shared" si="18"/>
        <v>396</v>
      </c>
      <c r="M428" s="4">
        <f t="shared" si="19"/>
        <v>66</v>
      </c>
      <c r="N428" t="str" cm="1">
        <f t="array" ref="N428">_xlfn.IFS(M428&gt;=70,"A",M428&gt;=60,"B",M428&gt;=50,"C",M428&gt;=45,"D",M428&gt;=40,"E",TRUE,"F")</f>
        <v>B</v>
      </c>
      <c r="O428">
        <f t="shared" si="20"/>
        <v>18</v>
      </c>
    </row>
    <row r="429" spans="1:15" x14ac:dyDescent="0.35">
      <c r="A429" s="2" t="s">
        <v>411</v>
      </c>
      <c r="B429" s="2" t="s">
        <v>412</v>
      </c>
      <c r="C429" s="2" t="s">
        <v>18</v>
      </c>
      <c r="D429" s="2" t="s">
        <v>351</v>
      </c>
      <c r="E429" s="2" t="s">
        <v>15</v>
      </c>
      <c r="F429" s="2">
        <v>50</v>
      </c>
      <c r="G429" s="2">
        <v>50</v>
      </c>
      <c r="H429" s="2">
        <v>59</v>
      </c>
      <c r="I429" s="2">
        <v>60</v>
      </c>
      <c r="J429" s="2">
        <v>58</v>
      </c>
      <c r="K429" s="2">
        <v>76</v>
      </c>
      <c r="L429">
        <f t="shared" si="18"/>
        <v>353</v>
      </c>
      <c r="M429" s="4">
        <f t="shared" si="19"/>
        <v>58.833333333333336</v>
      </c>
      <c r="N429" t="str" cm="1">
        <f t="array" ref="N429">_xlfn.IFS(M429&gt;=70,"A",M429&gt;=60,"B",M429&gt;=50,"C",M429&gt;=45,"D",M429&gt;=40,"E",TRUE,"F")</f>
        <v>C</v>
      </c>
      <c r="O429">
        <f t="shared" si="20"/>
        <v>25</v>
      </c>
    </row>
    <row r="430" spans="1:15" x14ac:dyDescent="0.35">
      <c r="A430" s="2" t="s">
        <v>411</v>
      </c>
      <c r="B430" s="2" t="s">
        <v>412</v>
      </c>
      <c r="C430" s="2" t="s">
        <v>18</v>
      </c>
      <c r="D430" s="2" t="s">
        <v>351</v>
      </c>
      <c r="E430" s="2" t="s">
        <v>17</v>
      </c>
      <c r="F430" s="2">
        <v>56</v>
      </c>
      <c r="G430" s="2">
        <v>62</v>
      </c>
      <c r="H430" s="2">
        <v>58</v>
      </c>
      <c r="I430" s="2">
        <v>62</v>
      </c>
      <c r="J430" s="2">
        <v>67</v>
      </c>
      <c r="K430" s="2">
        <v>66</v>
      </c>
      <c r="L430">
        <f t="shared" si="18"/>
        <v>371</v>
      </c>
      <c r="M430" s="4">
        <f t="shared" si="19"/>
        <v>61.833333333333336</v>
      </c>
      <c r="N430" t="str" cm="1">
        <f t="array" ref="N430">_xlfn.IFS(M430&gt;=70,"A",M430&gt;=60,"B",M430&gt;=50,"C",M430&gt;=45,"D",M430&gt;=40,"E",TRUE,"F")</f>
        <v>B</v>
      </c>
      <c r="O430">
        <f t="shared" si="20"/>
        <v>22</v>
      </c>
    </row>
    <row r="431" spans="1:15" x14ac:dyDescent="0.35">
      <c r="A431" s="2" t="s">
        <v>413</v>
      </c>
      <c r="B431" s="2" t="s">
        <v>414</v>
      </c>
      <c r="C431" s="2" t="s">
        <v>18</v>
      </c>
      <c r="D431" s="2" t="s">
        <v>351</v>
      </c>
      <c r="E431" s="2" t="s">
        <v>20</v>
      </c>
      <c r="F431" s="2">
        <v>62</v>
      </c>
      <c r="G431" s="2">
        <v>68</v>
      </c>
      <c r="H431" s="2">
        <v>60</v>
      </c>
      <c r="I431" s="2">
        <v>75</v>
      </c>
      <c r="J431" s="2">
        <v>78</v>
      </c>
      <c r="K431" s="2">
        <v>74</v>
      </c>
      <c r="L431">
        <f t="shared" si="18"/>
        <v>417</v>
      </c>
      <c r="M431" s="4">
        <f t="shared" si="19"/>
        <v>69.5</v>
      </c>
      <c r="N431" t="str" cm="1">
        <f t="array" ref="N431">_xlfn.IFS(M431&gt;=70,"A",M431&gt;=60,"B",M431&gt;=50,"C",M431&gt;=45,"D",M431&gt;=40,"E",TRUE,"F")</f>
        <v>B</v>
      </c>
      <c r="O431">
        <f t="shared" si="20"/>
        <v>13</v>
      </c>
    </row>
    <row r="432" spans="1:15" x14ac:dyDescent="0.35">
      <c r="A432" s="2" t="s">
        <v>413</v>
      </c>
      <c r="B432" s="2" t="s">
        <v>414</v>
      </c>
      <c r="C432" s="2" t="s">
        <v>18</v>
      </c>
      <c r="D432" s="2" t="s">
        <v>351</v>
      </c>
      <c r="E432" s="2" t="s">
        <v>15</v>
      </c>
      <c r="F432" s="2">
        <v>53</v>
      </c>
      <c r="G432" s="2">
        <v>65</v>
      </c>
      <c r="H432" s="2">
        <v>65</v>
      </c>
      <c r="I432" s="2">
        <v>67</v>
      </c>
      <c r="J432" s="2">
        <v>60</v>
      </c>
      <c r="K432" s="2">
        <v>78</v>
      </c>
      <c r="L432">
        <f t="shared" si="18"/>
        <v>388</v>
      </c>
      <c r="M432" s="4">
        <f t="shared" si="19"/>
        <v>64.666666666666671</v>
      </c>
      <c r="N432" t="str" cm="1">
        <f t="array" ref="N432">_xlfn.IFS(M432&gt;=70,"A",M432&gt;=60,"B",M432&gt;=50,"C",M432&gt;=45,"D",M432&gt;=40,"E",TRUE,"F")</f>
        <v>B</v>
      </c>
      <c r="O432">
        <f t="shared" si="20"/>
        <v>17</v>
      </c>
    </row>
    <row r="433" spans="1:15" x14ac:dyDescent="0.35">
      <c r="A433" s="2" t="s">
        <v>413</v>
      </c>
      <c r="B433" s="2" t="s">
        <v>414</v>
      </c>
      <c r="C433" s="2" t="s">
        <v>18</v>
      </c>
      <c r="D433" s="2" t="s">
        <v>351</v>
      </c>
      <c r="E433" s="2" t="s">
        <v>17</v>
      </c>
      <c r="F433" s="2">
        <v>68</v>
      </c>
      <c r="G433" s="2">
        <v>74</v>
      </c>
      <c r="H433" s="2">
        <v>56</v>
      </c>
      <c r="I433" s="2">
        <v>69</v>
      </c>
      <c r="J433" s="2">
        <v>70</v>
      </c>
      <c r="K433" s="2">
        <v>71</v>
      </c>
      <c r="L433">
        <f t="shared" si="18"/>
        <v>408</v>
      </c>
      <c r="M433" s="4">
        <f t="shared" si="19"/>
        <v>68</v>
      </c>
      <c r="N433" t="str" cm="1">
        <f t="array" ref="N433">_xlfn.IFS(M433&gt;=70,"A",M433&gt;=60,"B",M433&gt;=50,"C",M433&gt;=45,"D",M433&gt;=40,"E",TRUE,"F")</f>
        <v>B</v>
      </c>
      <c r="O433">
        <f t="shared" si="20"/>
        <v>15</v>
      </c>
    </row>
    <row r="434" spans="1:15" x14ac:dyDescent="0.35">
      <c r="A434" s="2" t="s">
        <v>415</v>
      </c>
      <c r="B434" s="2" t="s">
        <v>416</v>
      </c>
      <c r="C434" s="2" t="s">
        <v>18</v>
      </c>
      <c r="D434" s="2" t="s">
        <v>351</v>
      </c>
      <c r="E434" s="2" t="s">
        <v>15</v>
      </c>
      <c r="F434" s="2">
        <v>39</v>
      </c>
      <c r="G434" s="2">
        <v>48</v>
      </c>
      <c r="H434" s="2">
        <v>52</v>
      </c>
      <c r="I434" s="2">
        <v>47</v>
      </c>
      <c r="J434" s="2">
        <v>54</v>
      </c>
      <c r="K434" s="2">
        <v>46</v>
      </c>
      <c r="L434">
        <f t="shared" si="18"/>
        <v>286</v>
      </c>
      <c r="M434" s="4">
        <f t="shared" si="19"/>
        <v>47.666666666666664</v>
      </c>
      <c r="N434" t="str" cm="1">
        <f t="array" ref="N434">_xlfn.IFS(M434&gt;=70,"A",M434&gt;=60,"B",M434&gt;=50,"C",M434&gt;=45,"D",M434&gt;=40,"E",TRUE,"F")</f>
        <v>D</v>
      </c>
      <c r="O434">
        <f t="shared" si="20"/>
        <v>36</v>
      </c>
    </row>
    <row r="435" spans="1:15" x14ac:dyDescent="0.35">
      <c r="A435" s="2" t="s">
        <v>415</v>
      </c>
      <c r="B435" s="2" t="s">
        <v>416</v>
      </c>
      <c r="C435" s="2" t="s">
        <v>18</v>
      </c>
      <c r="D435" s="2" t="s">
        <v>351</v>
      </c>
      <c r="E435" s="2" t="s">
        <v>17</v>
      </c>
      <c r="F435" s="2">
        <v>44</v>
      </c>
      <c r="G435" s="2">
        <v>38</v>
      </c>
      <c r="H435" s="2">
        <v>37</v>
      </c>
      <c r="I435" s="2">
        <v>65</v>
      </c>
      <c r="J435" s="2">
        <v>52</v>
      </c>
      <c r="K435" s="2">
        <v>61</v>
      </c>
      <c r="L435">
        <f t="shared" si="18"/>
        <v>297</v>
      </c>
      <c r="M435" s="4">
        <f t="shared" si="19"/>
        <v>49.5</v>
      </c>
      <c r="N435" t="str" cm="1">
        <f t="array" ref="N435">_xlfn.IFS(M435&gt;=70,"A",M435&gt;=60,"B",M435&gt;=50,"C",M435&gt;=45,"D",M435&gt;=40,"E",TRUE,"F")</f>
        <v>D</v>
      </c>
      <c r="O435">
        <f t="shared" si="20"/>
        <v>36</v>
      </c>
    </row>
    <row r="436" spans="1:15" x14ac:dyDescent="0.35">
      <c r="A436" s="2" t="s">
        <v>415</v>
      </c>
      <c r="B436" s="2" t="s">
        <v>416</v>
      </c>
      <c r="C436" s="2" t="s">
        <v>18</v>
      </c>
      <c r="D436" s="2" t="s">
        <v>351</v>
      </c>
      <c r="E436" s="2" t="s">
        <v>20</v>
      </c>
      <c r="F436" s="2">
        <v>25</v>
      </c>
      <c r="G436" s="2">
        <v>48</v>
      </c>
      <c r="H436" s="2">
        <v>46</v>
      </c>
      <c r="I436" s="2">
        <v>49</v>
      </c>
      <c r="J436" s="2">
        <v>55</v>
      </c>
      <c r="K436" s="2">
        <v>50</v>
      </c>
      <c r="L436">
        <f t="shared" si="18"/>
        <v>273</v>
      </c>
      <c r="M436" s="4">
        <f t="shared" si="19"/>
        <v>45.5</v>
      </c>
      <c r="N436" t="str" cm="1">
        <f t="array" ref="N436">_xlfn.IFS(M436&gt;=70,"A",M436&gt;=60,"B",M436&gt;=50,"C",M436&gt;=45,"D",M436&gt;=40,"E",TRUE,"F")</f>
        <v>D</v>
      </c>
      <c r="O436">
        <f t="shared" si="20"/>
        <v>39</v>
      </c>
    </row>
    <row r="437" spans="1:15" x14ac:dyDescent="0.35">
      <c r="A437" s="2" t="s">
        <v>419</v>
      </c>
      <c r="B437" s="2" t="s">
        <v>420</v>
      </c>
      <c r="C437" s="2" t="s">
        <v>23</v>
      </c>
      <c r="D437" s="2" t="s">
        <v>351</v>
      </c>
      <c r="E437" s="2" t="s">
        <v>15</v>
      </c>
      <c r="F437" s="2">
        <v>59</v>
      </c>
      <c r="G437" s="2">
        <v>61</v>
      </c>
      <c r="H437" s="2">
        <v>46</v>
      </c>
      <c r="I437" s="2">
        <v>63</v>
      </c>
      <c r="J437" s="2">
        <v>62</v>
      </c>
      <c r="K437" s="2">
        <v>74</v>
      </c>
      <c r="L437">
        <f t="shared" si="18"/>
        <v>365</v>
      </c>
      <c r="M437" s="4">
        <f t="shared" si="19"/>
        <v>60.833333333333336</v>
      </c>
      <c r="N437" t="str" cm="1">
        <f t="array" ref="N437">_xlfn.IFS(M437&gt;=70,"A",M437&gt;=60,"B",M437&gt;=50,"C",M437&gt;=45,"D",M437&gt;=40,"E",TRUE,"F")</f>
        <v>B</v>
      </c>
      <c r="O437">
        <f t="shared" si="20"/>
        <v>23</v>
      </c>
    </row>
    <row r="438" spans="1:15" x14ac:dyDescent="0.35">
      <c r="A438" s="2" t="s">
        <v>419</v>
      </c>
      <c r="B438" s="2" t="s">
        <v>420</v>
      </c>
      <c r="C438" s="2" t="s">
        <v>23</v>
      </c>
      <c r="D438" s="2" t="s">
        <v>351</v>
      </c>
      <c r="E438" s="2" t="s">
        <v>17</v>
      </c>
      <c r="F438" s="2">
        <v>59</v>
      </c>
      <c r="G438" s="2">
        <v>50</v>
      </c>
      <c r="H438" s="2">
        <v>51</v>
      </c>
      <c r="I438" s="2">
        <v>68</v>
      </c>
      <c r="J438" s="2">
        <v>53</v>
      </c>
      <c r="K438" s="2">
        <v>68</v>
      </c>
      <c r="L438">
        <f t="shared" si="18"/>
        <v>349</v>
      </c>
      <c r="M438" s="4">
        <f t="shared" si="19"/>
        <v>58.166666666666664</v>
      </c>
      <c r="N438" t="str" cm="1">
        <f t="array" ref="N438">_xlfn.IFS(M438&gt;=70,"A",M438&gt;=60,"B",M438&gt;=50,"C",M438&gt;=45,"D",M438&gt;=40,"E",TRUE,"F")</f>
        <v>C</v>
      </c>
      <c r="O438">
        <f t="shared" si="20"/>
        <v>27</v>
      </c>
    </row>
    <row r="439" spans="1:15" x14ac:dyDescent="0.35">
      <c r="A439" s="2" t="s">
        <v>419</v>
      </c>
      <c r="B439" s="2" t="s">
        <v>420</v>
      </c>
      <c r="C439" s="2" t="s">
        <v>23</v>
      </c>
      <c r="D439" s="2" t="s">
        <v>351</v>
      </c>
      <c r="E439" s="2" t="s">
        <v>20</v>
      </c>
      <c r="F439" s="2">
        <v>49</v>
      </c>
      <c r="G439" s="2">
        <v>63</v>
      </c>
      <c r="H439" s="2">
        <v>62</v>
      </c>
      <c r="I439" s="2">
        <v>65</v>
      </c>
      <c r="J439" s="2">
        <v>59</v>
      </c>
      <c r="K439" s="2">
        <v>66</v>
      </c>
      <c r="L439">
        <f t="shared" si="18"/>
        <v>364</v>
      </c>
      <c r="M439" s="4">
        <f t="shared" si="19"/>
        <v>60.666666666666664</v>
      </c>
      <c r="N439" t="str" cm="1">
        <f t="array" ref="N439">_xlfn.IFS(M439&gt;=70,"A",M439&gt;=60,"B",M439&gt;=50,"C",M439&gt;=45,"D",M439&gt;=40,"E",TRUE,"F")</f>
        <v>B</v>
      </c>
      <c r="O439">
        <f t="shared" si="20"/>
        <v>25</v>
      </c>
    </row>
    <row r="440" spans="1:15" x14ac:dyDescent="0.35">
      <c r="A440" s="2" t="s">
        <v>421</v>
      </c>
      <c r="B440" s="2" t="s">
        <v>422</v>
      </c>
      <c r="C440" s="2" t="s">
        <v>18</v>
      </c>
      <c r="D440" s="2" t="s">
        <v>351</v>
      </c>
      <c r="E440" s="2" t="s">
        <v>20</v>
      </c>
      <c r="F440" s="2">
        <v>62</v>
      </c>
      <c r="G440" s="2">
        <v>62</v>
      </c>
      <c r="H440" s="2">
        <v>70</v>
      </c>
      <c r="I440" s="2">
        <v>74</v>
      </c>
      <c r="J440" s="2">
        <v>77</v>
      </c>
      <c r="K440" s="2">
        <v>64</v>
      </c>
      <c r="L440">
        <f t="shared" si="18"/>
        <v>409</v>
      </c>
      <c r="M440" s="4">
        <f t="shared" si="19"/>
        <v>68.166666666666671</v>
      </c>
      <c r="N440" t="str" cm="1">
        <f t="array" ref="N440">_xlfn.IFS(M440&gt;=70,"A",M440&gt;=60,"B",M440&gt;=50,"C",M440&gt;=45,"D",M440&gt;=40,"E",TRUE,"F")</f>
        <v>B</v>
      </c>
      <c r="O440">
        <f t="shared" si="20"/>
        <v>17</v>
      </c>
    </row>
    <row r="441" spans="1:15" x14ac:dyDescent="0.35">
      <c r="A441" s="2" t="s">
        <v>421</v>
      </c>
      <c r="B441" s="2" t="s">
        <v>422</v>
      </c>
      <c r="C441" s="2" t="s">
        <v>18</v>
      </c>
      <c r="D441" s="2" t="s">
        <v>351</v>
      </c>
      <c r="E441" s="2" t="s">
        <v>15</v>
      </c>
      <c r="F441" s="2">
        <v>67</v>
      </c>
      <c r="G441" s="2">
        <v>63</v>
      </c>
      <c r="H441" s="2">
        <v>66</v>
      </c>
      <c r="I441" s="2">
        <v>79</v>
      </c>
      <c r="J441" s="2">
        <v>82</v>
      </c>
      <c r="K441" s="2">
        <v>81</v>
      </c>
      <c r="L441">
        <f t="shared" si="18"/>
        <v>438</v>
      </c>
      <c r="M441" s="4">
        <f t="shared" si="19"/>
        <v>73</v>
      </c>
      <c r="N441" t="str" cm="1">
        <f t="array" ref="N441">_xlfn.IFS(M441&gt;=70,"A",M441&gt;=60,"B",M441&gt;=50,"C",M441&gt;=45,"D",M441&gt;=40,"E",TRUE,"F")</f>
        <v>A</v>
      </c>
      <c r="O441">
        <f t="shared" si="20"/>
        <v>7</v>
      </c>
    </row>
    <row r="442" spans="1:15" x14ac:dyDescent="0.35">
      <c r="A442" s="2" t="s">
        <v>421</v>
      </c>
      <c r="B442" s="2" t="s">
        <v>422</v>
      </c>
      <c r="C442" s="2" t="s">
        <v>18</v>
      </c>
      <c r="D442" s="2" t="s">
        <v>351</v>
      </c>
      <c r="E442" s="2" t="s">
        <v>17</v>
      </c>
      <c r="F442" s="2">
        <v>59</v>
      </c>
      <c r="G442" s="2">
        <v>65</v>
      </c>
      <c r="H442" s="2">
        <v>61</v>
      </c>
      <c r="I442" s="2">
        <v>63</v>
      </c>
      <c r="J442" s="2">
        <v>67</v>
      </c>
      <c r="K442" s="2">
        <v>60</v>
      </c>
      <c r="L442">
        <f t="shared" si="18"/>
        <v>375</v>
      </c>
      <c r="M442" s="4">
        <f t="shared" si="19"/>
        <v>62.5</v>
      </c>
      <c r="N442" t="str" cm="1">
        <f t="array" ref="N442">_xlfn.IFS(M442&gt;=70,"A",M442&gt;=60,"B",M442&gt;=50,"C",M442&gt;=45,"D",M442&gt;=40,"E",TRUE,"F")</f>
        <v>B</v>
      </c>
      <c r="O442">
        <f t="shared" si="20"/>
        <v>21</v>
      </c>
    </row>
    <row r="443" spans="1:15" x14ac:dyDescent="0.35">
      <c r="A443" s="2" t="s">
        <v>425</v>
      </c>
      <c r="B443" s="2" t="s">
        <v>426</v>
      </c>
      <c r="C443" s="2" t="s">
        <v>18</v>
      </c>
      <c r="D443" s="2" t="s">
        <v>351</v>
      </c>
      <c r="E443" s="2" t="s">
        <v>20</v>
      </c>
      <c r="F443" s="2">
        <v>53</v>
      </c>
      <c r="G443" s="2">
        <v>76</v>
      </c>
      <c r="H443" s="2">
        <v>59</v>
      </c>
      <c r="I443" s="2">
        <v>59</v>
      </c>
      <c r="J443" s="2">
        <v>60</v>
      </c>
      <c r="K443" s="2">
        <v>64</v>
      </c>
      <c r="L443">
        <f t="shared" si="18"/>
        <v>371</v>
      </c>
      <c r="M443" s="4">
        <f t="shared" si="19"/>
        <v>61.833333333333336</v>
      </c>
      <c r="N443" t="str" cm="1">
        <f t="array" ref="N443">_xlfn.IFS(M443&gt;=70,"A",M443&gt;=60,"B",M443&gt;=50,"C",M443&gt;=45,"D",M443&gt;=40,"E",TRUE,"F")</f>
        <v>B</v>
      </c>
      <c r="O443">
        <f t="shared" si="20"/>
        <v>23</v>
      </c>
    </row>
    <row r="444" spans="1:15" x14ac:dyDescent="0.35">
      <c r="A444" s="2" t="s">
        <v>425</v>
      </c>
      <c r="B444" s="2" t="s">
        <v>426</v>
      </c>
      <c r="C444" s="2" t="s">
        <v>18</v>
      </c>
      <c r="D444" s="2" t="s">
        <v>351</v>
      </c>
      <c r="E444" s="2" t="s">
        <v>15</v>
      </c>
      <c r="F444" s="2">
        <v>50</v>
      </c>
      <c r="G444" s="2">
        <v>52</v>
      </c>
      <c r="H444" s="2">
        <v>45</v>
      </c>
      <c r="I444" s="2">
        <v>56</v>
      </c>
      <c r="J444" s="2">
        <v>56</v>
      </c>
      <c r="K444" s="2">
        <v>71</v>
      </c>
      <c r="L444">
        <f t="shared" si="18"/>
        <v>330</v>
      </c>
      <c r="M444" s="4">
        <f t="shared" si="19"/>
        <v>55</v>
      </c>
      <c r="N444" t="str" cm="1">
        <f t="array" ref="N444">_xlfn.IFS(M444&gt;=70,"A",M444&gt;=60,"B",M444&gt;=50,"C",M444&gt;=45,"D",M444&gt;=40,"E",TRUE,"F")</f>
        <v>C</v>
      </c>
      <c r="O444">
        <f t="shared" si="20"/>
        <v>30</v>
      </c>
    </row>
    <row r="445" spans="1:15" x14ac:dyDescent="0.35">
      <c r="A445" s="2" t="s">
        <v>425</v>
      </c>
      <c r="B445" s="2" t="s">
        <v>426</v>
      </c>
      <c r="C445" s="2" t="s">
        <v>18</v>
      </c>
      <c r="D445" s="2" t="s">
        <v>351</v>
      </c>
      <c r="E445" s="2" t="s">
        <v>17</v>
      </c>
      <c r="F445" s="2">
        <v>33</v>
      </c>
      <c r="G445" s="2">
        <v>62</v>
      </c>
      <c r="H445" s="2">
        <v>55</v>
      </c>
      <c r="I445" s="2">
        <v>58</v>
      </c>
      <c r="J445" s="2">
        <v>60</v>
      </c>
      <c r="K445" s="2">
        <v>68</v>
      </c>
      <c r="L445">
        <f t="shared" si="18"/>
        <v>336</v>
      </c>
      <c r="M445" s="4">
        <f t="shared" si="19"/>
        <v>56</v>
      </c>
      <c r="N445" t="str" cm="1">
        <f t="array" ref="N445">_xlfn.IFS(M445&gt;=70,"A",M445&gt;=60,"B",M445&gt;=50,"C",M445&gt;=45,"D",M445&gt;=40,"E",TRUE,"F")</f>
        <v>C</v>
      </c>
      <c r="O445">
        <f t="shared" si="20"/>
        <v>30</v>
      </c>
    </row>
    <row r="446" spans="1:15" x14ac:dyDescent="0.35">
      <c r="A446" s="2" t="s">
        <v>427</v>
      </c>
      <c r="B446" s="2" t="s">
        <v>428</v>
      </c>
      <c r="C446" s="2" t="s">
        <v>18</v>
      </c>
      <c r="D446" s="2" t="s">
        <v>351</v>
      </c>
      <c r="E446" s="2" t="s">
        <v>20</v>
      </c>
      <c r="F446" s="2">
        <v>59</v>
      </c>
      <c r="G446" s="2">
        <v>77</v>
      </c>
      <c r="H446" s="2">
        <v>85</v>
      </c>
      <c r="I446" s="2">
        <v>78</v>
      </c>
      <c r="J446" s="2">
        <v>90</v>
      </c>
      <c r="K446" s="2">
        <v>81</v>
      </c>
      <c r="L446">
        <f t="shared" si="18"/>
        <v>470</v>
      </c>
      <c r="M446" s="4">
        <f t="shared" si="19"/>
        <v>78.333333333333329</v>
      </c>
      <c r="N446" t="str" cm="1">
        <f t="array" ref="N446">_xlfn.IFS(M446&gt;=70,"A",M446&gt;=60,"B",M446&gt;=50,"C",M446&gt;=45,"D",M446&gt;=40,"E",TRUE,"F")</f>
        <v>A</v>
      </c>
      <c r="O446">
        <f t="shared" si="20"/>
        <v>7</v>
      </c>
    </row>
    <row r="447" spans="1:15" x14ac:dyDescent="0.35">
      <c r="A447" s="2" t="s">
        <v>427</v>
      </c>
      <c r="B447" s="2" t="s">
        <v>428</v>
      </c>
      <c r="C447" s="2" t="s">
        <v>18</v>
      </c>
      <c r="D447" s="2" t="s">
        <v>351</v>
      </c>
      <c r="E447" s="2" t="s">
        <v>15</v>
      </c>
      <c r="F447" s="2">
        <v>69</v>
      </c>
      <c r="G447" s="2">
        <v>67</v>
      </c>
      <c r="H447" s="2">
        <v>71</v>
      </c>
      <c r="I447" s="2">
        <v>58</v>
      </c>
      <c r="J447" s="2">
        <v>64</v>
      </c>
      <c r="K447" s="2">
        <v>70</v>
      </c>
      <c r="L447">
        <f t="shared" si="18"/>
        <v>399</v>
      </c>
      <c r="M447" s="4">
        <f t="shared" si="19"/>
        <v>66.5</v>
      </c>
      <c r="N447" t="str" cm="1">
        <f t="array" ref="N447">_xlfn.IFS(M447&gt;=70,"A",M447&gt;=60,"B",M447&gt;=50,"C",M447&gt;=45,"D",M447&gt;=40,"E",TRUE,"F")</f>
        <v>B</v>
      </c>
      <c r="O447">
        <f t="shared" si="20"/>
        <v>12</v>
      </c>
    </row>
    <row r="448" spans="1:15" x14ac:dyDescent="0.35">
      <c r="A448" s="2" t="s">
        <v>427</v>
      </c>
      <c r="B448" s="2" t="s">
        <v>428</v>
      </c>
      <c r="C448" s="2" t="s">
        <v>18</v>
      </c>
      <c r="D448" s="2" t="s">
        <v>351</v>
      </c>
      <c r="E448" s="2" t="s">
        <v>17</v>
      </c>
      <c r="F448" s="2">
        <v>61</v>
      </c>
      <c r="G448" s="2">
        <v>73</v>
      </c>
      <c r="H448" s="2">
        <v>74</v>
      </c>
      <c r="I448" s="2">
        <v>69</v>
      </c>
      <c r="J448" s="2">
        <v>52</v>
      </c>
      <c r="K448" s="2">
        <v>68</v>
      </c>
      <c r="L448">
        <f t="shared" si="18"/>
        <v>397</v>
      </c>
      <c r="M448" s="4">
        <f t="shared" si="19"/>
        <v>66.166666666666671</v>
      </c>
      <c r="N448" t="str" cm="1">
        <f t="array" ref="N448">_xlfn.IFS(M448&gt;=70,"A",M448&gt;=60,"B",M448&gt;=50,"C",M448&gt;=45,"D",M448&gt;=40,"E",TRUE,"F")</f>
        <v>B</v>
      </c>
      <c r="O448">
        <f t="shared" si="20"/>
        <v>18</v>
      </c>
    </row>
    <row r="449" spans="1:15" x14ac:dyDescent="0.35">
      <c r="A449" s="2" t="s">
        <v>429</v>
      </c>
      <c r="B449" s="2" t="s">
        <v>430</v>
      </c>
      <c r="C449" s="2" t="s">
        <v>23</v>
      </c>
      <c r="D449" s="2" t="s">
        <v>351</v>
      </c>
      <c r="E449" s="2" t="s">
        <v>15</v>
      </c>
      <c r="F449" s="2">
        <v>49</v>
      </c>
      <c r="G449" s="2">
        <v>49</v>
      </c>
      <c r="H449" s="2">
        <v>50</v>
      </c>
      <c r="I449" s="2">
        <v>44</v>
      </c>
      <c r="J449" s="2">
        <v>49</v>
      </c>
      <c r="K449" s="2">
        <v>64</v>
      </c>
      <c r="L449">
        <f t="shared" si="18"/>
        <v>305</v>
      </c>
      <c r="M449" s="4">
        <f t="shared" si="19"/>
        <v>50.833333333333336</v>
      </c>
      <c r="N449" t="str" cm="1">
        <f t="array" ref="N449">_xlfn.IFS(M449&gt;=70,"A",M449&gt;=60,"B",M449&gt;=50,"C",M449&gt;=45,"D",M449&gt;=40,"E",TRUE,"F")</f>
        <v>C</v>
      </c>
      <c r="O449">
        <f t="shared" si="20"/>
        <v>33</v>
      </c>
    </row>
    <row r="450" spans="1:15" x14ac:dyDescent="0.35">
      <c r="A450" s="2" t="s">
        <v>429</v>
      </c>
      <c r="B450" s="2" t="s">
        <v>430</v>
      </c>
      <c r="C450" s="2" t="s">
        <v>23</v>
      </c>
      <c r="D450" s="2" t="s">
        <v>351</v>
      </c>
      <c r="E450" s="2" t="s">
        <v>17</v>
      </c>
      <c r="F450" s="2">
        <v>52</v>
      </c>
      <c r="G450" s="2">
        <v>42</v>
      </c>
      <c r="H450" s="2">
        <v>57</v>
      </c>
      <c r="I450" s="2">
        <v>63</v>
      </c>
      <c r="J450" s="2">
        <v>53</v>
      </c>
      <c r="K450" s="2">
        <v>59</v>
      </c>
      <c r="L450">
        <f t="shared" ref="L450:L513" si="21">SUM(F450:K450)</f>
        <v>326</v>
      </c>
      <c r="M450" s="4">
        <f t="shared" ref="M450:M513" si="22">AVERAGE(F450:K450)</f>
        <v>54.333333333333336</v>
      </c>
      <c r="N450" t="str" cm="1">
        <f t="array" ref="N450">_xlfn.IFS(M450&gt;=70,"A",M450&gt;=60,"B",M450&gt;=50,"C",M450&gt;=45,"D",M450&gt;=40,"E",TRUE,"F")</f>
        <v>C</v>
      </c>
      <c r="O450">
        <f t="shared" ref="O450:O513" si="23">COUNTIFS($D$2:$D$721,D450,$E$2:$E$721,E450,$M$2:$M$721,"&gt;"&amp;M450)+1</f>
        <v>33</v>
      </c>
    </row>
    <row r="451" spans="1:15" x14ac:dyDescent="0.35">
      <c r="A451" s="2" t="s">
        <v>429</v>
      </c>
      <c r="B451" s="2" t="s">
        <v>430</v>
      </c>
      <c r="C451" s="2" t="s">
        <v>23</v>
      </c>
      <c r="D451" s="2" t="s">
        <v>351</v>
      </c>
      <c r="E451" s="2" t="s">
        <v>20</v>
      </c>
      <c r="F451" s="2">
        <v>45</v>
      </c>
      <c r="G451" s="2">
        <v>57</v>
      </c>
      <c r="H451" s="2">
        <v>54</v>
      </c>
      <c r="I451" s="2">
        <v>55</v>
      </c>
      <c r="J451" s="2">
        <v>59</v>
      </c>
      <c r="K451" s="2">
        <v>57</v>
      </c>
      <c r="L451">
        <f t="shared" si="21"/>
        <v>327</v>
      </c>
      <c r="M451" s="4">
        <f t="shared" si="22"/>
        <v>54.5</v>
      </c>
      <c r="N451" t="str" cm="1">
        <f t="array" ref="N451">_xlfn.IFS(M451&gt;=70,"A",M451&gt;=60,"B",M451&gt;=50,"C",M451&gt;=45,"D",M451&gt;=40,"E",TRUE,"F")</f>
        <v>C</v>
      </c>
      <c r="O451">
        <f t="shared" si="23"/>
        <v>31</v>
      </c>
    </row>
    <row r="452" spans="1:15" x14ac:dyDescent="0.35">
      <c r="A452" s="2" t="s">
        <v>431</v>
      </c>
      <c r="B452" s="2" t="s">
        <v>432</v>
      </c>
      <c r="C452" s="2" t="s">
        <v>23</v>
      </c>
      <c r="D452" s="2" t="s">
        <v>351</v>
      </c>
      <c r="E452" s="2" t="s">
        <v>20</v>
      </c>
      <c r="F452" s="2">
        <v>70</v>
      </c>
      <c r="G452" s="2">
        <v>82</v>
      </c>
      <c r="H452" s="2">
        <v>80</v>
      </c>
      <c r="I452" s="2">
        <v>77</v>
      </c>
      <c r="J452" s="2">
        <v>85</v>
      </c>
      <c r="K452" s="2">
        <v>81</v>
      </c>
      <c r="L452">
        <f t="shared" si="21"/>
        <v>475</v>
      </c>
      <c r="M452" s="4">
        <f t="shared" si="22"/>
        <v>79.166666666666671</v>
      </c>
      <c r="N452" t="str" cm="1">
        <f t="array" ref="N452">_xlfn.IFS(M452&gt;=70,"A",M452&gt;=60,"B",M452&gt;=50,"C",M452&gt;=45,"D",M452&gt;=40,"E",TRUE,"F")</f>
        <v>A</v>
      </c>
      <c r="O452">
        <f t="shared" si="23"/>
        <v>5</v>
      </c>
    </row>
    <row r="453" spans="1:15" x14ac:dyDescent="0.35">
      <c r="A453" s="2" t="s">
        <v>431</v>
      </c>
      <c r="B453" s="2" t="s">
        <v>432</v>
      </c>
      <c r="C453" s="2" t="s">
        <v>23</v>
      </c>
      <c r="D453" s="2" t="s">
        <v>351</v>
      </c>
      <c r="E453" s="2" t="s">
        <v>15</v>
      </c>
      <c r="F453" s="2">
        <v>82</v>
      </c>
      <c r="G453" s="2">
        <v>79</v>
      </c>
      <c r="H453" s="2">
        <v>84</v>
      </c>
      <c r="I453" s="2">
        <v>88</v>
      </c>
      <c r="J453" s="2">
        <v>82</v>
      </c>
      <c r="K453" s="2">
        <v>86</v>
      </c>
      <c r="L453">
        <f t="shared" si="21"/>
        <v>501</v>
      </c>
      <c r="M453" s="4">
        <f t="shared" si="22"/>
        <v>83.5</v>
      </c>
      <c r="N453" t="str" cm="1">
        <f t="array" ref="N453">_xlfn.IFS(M453&gt;=70,"A",M453&gt;=60,"B",M453&gt;=50,"C",M453&gt;=45,"D",M453&gt;=40,"E",TRUE,"F")</f>
        <v>A</v>
      </c>
      <c r="O453">
        <f t="shared" si="23"/>
        <v>3</v>
      </c>
    </row>
    <row r="454" spans="1:15" x14ac:dyDescent="0.35">
      <c r="A454" s="2" t="s">
        <v>431</v>
      </c>
      <c r="B454" s="2" t="s">
        <v>432</v>
      </c>
      <c r="C454" s="2" t="s">
        <v>23</v>
      </c>
      <c r="D454" s="2" t="s">
        <v>351</v>
      </c>
      <c r="E454" s="2" t="s">
        <v>17</v>
      </c>
      <c r="F454" s="2">
        <v>76</v>
      </c>
      <c r="G454" s="2">
        <v>90</v>
      </c>
      <c r="H454" s="2">
        <v>74</v>
      </c>
      <c r="I454" s="2">
        <v>82</v>
      </c>
      <c r="J454" s="2">
        <v>83</v>
      </c>
      <c r="K454" s="2">
        <v>74</v>
      </c>
      <c r="L454">
        <f t="shared" si="21"/>
        <v>479</v>
      </c>
      <c r="M454" s="4">
        <f t="shared" si="22"/>
        <v>79.833333333333329</v>
      </c>
      <c r="N454" t="str" cm="1">
        <f t="array" ref="N454">_xlfn.IFS(M454&gt;=70,"A",M454&gt;=60,"B",M454&gt;=50,"C",M454&gt;=45,"D",M454&gt;=40,"E",TRUE,"F")</f>
        <v>A</v>
      </c>
      <c r="O454">
        <f t="shared" si="23"/>
        <v>4</v>
      </c>
    </row>
    <row r="455" spans="1:15" x14ac:dyDescent="0.35">
      <c r="A455" s="2" t="s">
        <v>433</v>
      </c>
      <c r="B455" s="2" t="s">
        <v>434</v>
      </c>
      <c r="C455" s="2" t="s">
        <v>23</v>
      </c>
      <c r="D455" s="2" t="s">
        <v>351</v>
      </c>
      <c r="E455" s="2" t="s">
        <v>15</v>
      </c>
      <c r="F455" s="2">
        <v>45</v>
      </c>
      <c r="G455" s="2">
        <v>55</v>
      </c>
      <c r="H455" s="2">
        <v>42</v>
      </c>
      <c r="I455" s="2">
        <v>55</v>
      </c>
      <c r="J455" s="2">
        <v>41</v>
      </c>
      <c r="K455" s="2">
        <v>61</v>
      </c>
      <c r="L455">
        <f t="shared" si="21"/>
        <v>299</v>
      </c>
      <c r="M455" s="4">
        <f t="shared" si="22"/>
        <v>49.833333333333336</v>
      </c>
      <c r="N455" t="str" cm="1">
        <f t="array" ref="N455">_xlfn.IFS(M455&gt;=70,"A",M455&gt;=60,"B",M455&gt;=50,"C",M455&gt;=45,"D",M455&gt;=40,"E",TRUE,"F")</f>
        <v>D</v>
      </c>
      <c r="O455">
        <f t="shared" si="23"/>
        <v>34</v>
      </c>
    </row>
    <row r="456" spans="1:15" x14ac:dyDescent="0.35">
      <c r="A456" s="2" t="s">
        <v>433</v>
      </c>
      <c r="B456" s="2" t="s">
        <v>434</v>
      </c>
      <c r="C456" s="2" t="s">
        <v>23</v>
      </c>
      <c r="D456" s="2" t="s">
        <v>351</v>
      </c>
      <c r="E456" s="2" t="s">
        <v>17</v>
      </c>
      <c r="F456" s="2">
        <v>31</v>
      </c>
      <c r="G456" s="2">
        <v>47</v>
      </c>
      <c r="H456" s="2">
        <v>44</v>
      </c>
      <c r="I456" s="2">
        <v>56</v>
      </c>
      <c r="J456" s="2">
        <v>64</v>
      </c>
      <c r="K456" s="2">
        <v>52</v>
      </c>
      <c r="L456">
        <f t="shared" si="21"/>
        <v>294</v>
      </c>
      <c r="M456" s="4">
        <f t="shared" si="22"/>
        <v>49</v>
      </c>
      <c r="N456" t="str" cm="1">
        <f t="array" ref="N456">_xlfn.IFS(M456&gt;=70,"A",M456&gt;=60,"B",M456&gt;=50,"C",M456&gt;=45,"D",M456&gt;=40,"E",TRUE,"F")</f>
        <v>D</v>
      </c>
      <c r="O456">
        <f t="shared" si="23"/>
        <v>37</v>
      </c>
    </row>
    <row r="457" spans="1:15" x14ac:dyDescent="0.35">
      <c r="A457" s="2" t="s">
        <v>433</v>
      </c>
      <c r="B457" s="2" t="s">
        <v>434</v>
      </c>
      <c r="C457" s="2" t="s">
        <v>23</v>
      </c>
      <c r="D457" s="2" t="s">
        <v>351</v>
      </c>
      <c r="E457" s="2" t="s">
        <v>20</v>
      </c>
      <c r="F457" s="2">
        <v>40</v>
      </c>
      <c r="G457" s="2">
        <v>39</v>
      </c>
      <c r="H457" s="2">
        <v>48</v>
      </c>
      <c r="I457" s="2">
        <v>56</v>
      </c>
      <c r="J457" s="2">
        <v>59</v>
      </c>
      <c r="K457" s="2">
        <v>45</v>
      </c>
      <c r="L457">
        <f t="shared" si="21"/>
        <v>287</v>
      </c>
      <c r="M457" s="4">
        <f t="shared" si="22"/>
        <v>47.833333333333336</v>
      </c>
      <c r="N457" t="str" cm="1">
        <f t="array" ref="N457">_xlfn.IFS(M457&gt;=70,"A",M457&gt;=60,"B",M457&gt;=50,"C",M457&gt;=45,"D",M457&gt;=40,"E",TRUE,"F")</f>
        <v>D</v>
      </c>
      <c r="O457">
        <f t="shared" si="23"/>
        <v>36</v>
      </c>
    </row>
    <row r="458" spans="1:15" x14ac:dyDescent="0.35">
      <c r="A458" s="2" t="s">
        <v>435</v>
      </c>
      <c r="B458" s="2" t="s">
        <v>437</v>
      </c>
      <c r="C458" s="2" t="s">
        <v>18</v>
      </c>
      <c r="D458" s="2" t="s">
        <v>351</v>
      </c>
      <c r="E458" s="2" t="s">
        <v>20</v>
      </c>
      <c r="F458" s="2">
        <v>54</v>
      </c>
      <c r="G458" s="2">
        <v>72</v>
      </c>
      <c r="H458" s="2">
        <v>74</v>
      </c>
      <c r="I458" s="2">
        <v>64</v>
      </c>
      <c r="J458" s="2">
        <v>68</v>
      </c>
      <c r="K458" s="2">
        <v>85</v>
      </c>
      <c r="L458">
        <f t="shared" si="21"/>
        <v>417</v>
      </c>
      <c r="M458" s="4">
        <f t="shared" si="22"/>
        <v>69.5</v>
      </c>
      <c r="N458" t="str" cm="1">
        <f t="array" ref="N458">_xlfn.IFS(M458&gt;=70,"A",M458&gt;=60,"B",M458&gt;=50,"C",M458&gt;=45,"D",M458&gt;=40,"E",TRUE,"F")</f>
        <v>B</v>
      </c>
      <c r="O458">
        <f t="shared" si="23"/>
        <v>13</v>
      </c>
    </row>
    <row r="459" spans="1:15" x14ac:dyDescent="0.35">
      <c r="A459" s="2" t="s">
        <v>435</v>
      </c>
      <c r="B459" s="2" t="s">
        <v>437</v>
      </c>
      <c r="C459" s="2" t="s">
        <v>18</v>
      </c>
      <c r="D459" s="2" t="s">
        <v>351</v>
      </c>
      <c r="E459" s="2" t="s">
        <v>15</v>
      </c>
      <c r="F459" s="2">
        <v>43</v>
      </c>
      <c r="G459" s="2">
        <v>61</v>
      </c>
      <c r="H459" s="2">
        <v>60</v>
      </c>
      <c r="I459" s="2">
        <v>44</v>
      </c>
      <c r="J459" s="2">
        <v>53</v>
      </c>
      <c r="K459" s="2">
        <v>46</v>
      </c>
      <c r="L459">
        <f t="shared" si="21"/>
        <v>307</v>
      </c>
      <c r="M459" s="4">
        <f t="shared" si="22"/>
        <v>51.166666666666664</v>
      </c>
      <c r="N459" t="str" cm="1">
        <f t="array" ref="N459">_xlfn.IFS(M459&gt;=70,"A",M459&gt;=60,"B",M459&gt;=50,"C",M459&gt;=45,"D",M459&gt;=40,"E",TRUE,"F")</f>
        <v>C</v>
      </c>
      <c r="O459">
        <f t="shared" si="23"/>
        <v>32</v>
      </c>
    </row>
    <row r="460" spans="1:15" x14ac:dyDescent="0.35">
      <c r="A460" s="2" t="s">
        <v>435</v>
      </c>
      <c r="B460" s="2" t="s">
        <v>437</v>
      </c>
      <c r="C460" s="2" t="s">
        <v>18</v>
      </c>
      <c r="D460" s="2" t="s">
        <v>351</v>
      </c>
      <c r="E460" s="2" t="s">
        <v>17</v>
      </c>
      <c r="F460" s="2">
        <v>55</v>
      </c>
      <c r="G460" s="2">
        <v>64</v>
      </c>
      <c r="H460" s="2">
        <v>63</v>
      </c>
      <c r="I460" s="2">
        <v>69</v>
      </c>
      <c r="J460" s="2">
        <v>71</v>
      </c>
      <c r="K460" s="2">
        <v>68</v>
      </c>
      <c r="L460">
        <f t="shared" si="21"/>
        <v>390</v>
      </c>
      <c r="M460" s="4">
        <f t="shared" si="22"/>
        <v>65</v>
      </c>
      <c r="N460" t="str" cm="1">
        <f t="array" ref="N460">_xlfn.IFS(M460&gt;=70,"A",M460&gt;=60,"B",M460&gt;=50,"C",M460&gt;=45,"D",M460&gt;=40,"E",TRUE,"F")</f>
        <v>B</v>
      </c>
      <c r="O460">
        <f t="shared" si="23"/>
        <v>19</v>
      </c>
    </row>
    <row r="461" spans="1:15" x14ac:dyDescent="0.35">
      <c r="A461" s="2" t="s">
        <v>438</v>
      </c>
      <c r="B461" s="2" t="s">
        <v>439</v>
      </c>
      <c r="C461" s="2" t="s">
        <v>18</v>
      </c>
      <c r="D461" s="2" t="s">
        <v>351</v>
      </c>
      <c r="E461" s="2" t="s">
        <v>20</v>
      </c>
      <c r="F461" s="2">
        <v>39</v>
      </c>
      <c r="G461" s="2">
        <v>64</v>
      </c>
      <c r="H461" s="2">
        <v>46</v>
      </c>
      <c r="I461" s="2">
        <v>54</v>
      </c>
      <c r="J461" s="2">
        <v>52</v>
      </c>
      <c r="K461" s="2">
        <v>68</v>
      </c>
      <c r="L461">
        <f t="shared" si="21"/>
        <v>323</v>
      </c>
      <c r="M461" s="4">
        <f t="shared" si="22"/>
        <v>53.833333333333336</v>
      </c>
      <c r="N461" t="str" cm="1">
        <f t="array" ref="N461">_xlfn.IFS(M461&gt;=70,"A",M461&gt;=60,"B",M461&gt;=50,"C",M461&gt;=45,"D",M461&gt;=40,"E",TRUE,"F")</f>
        <v>C</v>
      </c>
      <c r="O461">
        <f t="shared" si="23"/>
        <v>32</v>
      </c>
    </row>
    <row r="462" spans="1:15" x14ac:dyDescent="0.35">
      <c r="A462" s="2" t="s">
        <v>438</v>
      </c>
      <c r="B462" s="2" t="s">
        <v>439</v>
      </c>
      <c r="C462" s="2" t="s">
        <v>18</v>
      </c>
      <c r="D462" s="2" t="s">
        <v>351</v>
      </c>
      <c r="E462" s="2" t="s">
        <v>15</v>
      </c>
      <c r="F462" s="2">
        <v>64</v>
      </c>
      <c r="G462" s="2">
        <v>55</v>
      </c>
      <c r="H462" s="2">
        <v>48</v>
      </c>
      <c r="I462" s="2">
        <v>57</v>
      </c>
      <c r="J462" s="2">
        <v>57</v>
      </c>
      <c r="K462" s="2">
        <v>61</v>
      </c>
      <c r="L462">
        <f t="shared" si="21"/>
        <v>342</v>
      </c>
      <c r="M462" s="4">
        <f t="shared" si="22"/>
        <v>57</v>
      </c>
      <c r="N462" t="str" cm="1">
        <f t="array" ref="N462">_xlfn.IFS(M462&gt;=70,"A",M462&gt;=60,"B",M462&gt;=50,"C",M462&gt;=45,"D",M462&gt;=40,"E",TRUE,"F")</f>
        <v>C</v>
      </c>
      <c r="O462">
        <f t="shared" si="23"/>
        <v>27</v>
      </c>
    </row>
    <row r="463" spans="1:15" x14ac:dyDescent="0.35">
      <c r="A463" s="2" t="s">
        <v>438</v>
      </c>
      <c r="B463" s="2" t="s">
        <v>439</v>
      </c>
      <c r="C463" s="2" t="s">
        <v>18</v>
      </c>
      <c r="D463" s="2" t="s">
        <v>351</v>
      </c>
      <c r="E463" s="2" t="s">
        <v>17</v>
      </c>
      <c r="F463" s="2">
        <v>58</v>
      </c>
      <c r="G463" s="2">
        <v>45</v>
      </c>
      <c r="H463" s="2">
        <v>42</v>
      </c>
      <c r="I463" s="2">
        <v>75</v>
      </c>
      <c r="J463" s="2">
        <v>57</v>
      </c>
      <c r="K463" s="2">
        <v>73</v>
      </c>
      <c r="L463">
        <f t="shared" si="21"/>
        <v>350</v>
      </c>
      <c r="M463" s="4">
        <f t="shared" si="22"/>
        <v>58.333333333333336</v>
      </c>
      <c r="N463" t="str" cm="1">
        <f t="array" ref="N463">_xlfn.IFS(M463&gt;=70,"A",M463&gt;=60,"B",M463&gt;=50,"C",M463&gt;=45,"D",M463&gt;=40,"E",TRUE,"F")</f>
        <v>C</v>
      </c>
      <c r="O463">
        <f t="shared" si="23"/>
        <v>26</v>
      </c>
    </row>
    <row r="464" spans="1:15" x14ac:dyDescent="0.35">
      <c r="A464" s="2" t="s">
        <v>441</v>
      </c>
      <c r="B464" s="2" t="s">
        <v>442</v>
      </c>
      <c r="C464" s="2" t="s">
        <v>23</v>
      </c>
      <c r="D464" s="2" t="s">
        <v>351</v>
      </c>
      <c r="E464" s="2" t="s">
        <v>20</v>
      </c>
      <c r="F464" s="2">
        <v>51</v>
      </c>
      <c r="G464" s="2">
        <v>71</v>
      </c>
      <c r="H464" s="2">
        <v>67</v>
      </c>
      <c r="I464" s="2">
        <v>68</v>
      </c>
      <c r="J464" s="2">
        <v>62</v>
      </c>
      <c r="K464" s="2">
        <v>62</v>
      </c>
      <c r="L464">
        <f t="shared" si="21"/>
        <v>381</v>
      </c>
      <c r="M464" s="4">
        <f t="shared" si="22"/>
        <v>63.5</v>
      </c>
      <c r="N464" t="str" cm="1">
        <f t="array" ref="N464">_xlfn.IFS(M464&gt;=70,"A",M464&gt;=60,"B",M464&gt;=50,"C",M464&gt;=45,"D",M464&gt;=40,"E",TRUE,"F")</f>
        <v>B</v>
      </c>
      <c r="O464">
        <f t="shared" si="23"/>
        <v>21</v>
      </c>
    </row>
    <row r="465" spans="1:15" x14ac:dyDescent="0.35">
      <c r="A465" s="2" t="s">
        <v>441</v>
      </c>
      <c r="B465" s="2" t="s">
        <v>442</v>
      </c>
      <c r="C465" s="2" t="s">
        <v>23</v>
      </c>
      <c r="D465" s="2" t="s">
        <v>351</v>
      </c>
      <c r="E465" s="2" t="s">
        <v>15</v>
      </c>
      <c r="F465" s="2">
        <v>53</v>
      </c>
      <c r="G465" s="2">
        <v>59</v>
      </c>
      <c r="H465" s="2">
        <v>69</v>
      </c>
      <c r="I465" s="2">
        <v>80</v>
      </c>
      <c r="J465" s="2">
        <v>73</v>
      </c>
      <c r="K465" s="2">
        <v>74</v>
      </c>
      <c r="L465">
        <f t="shared" si="21"/>
        <v>408</v>
      </c>
      <c r="M465" s="4">
        <f t="shared" si="22"/>
        <v>68</v>
      </c>
      <c r="N465" t="str" cm="1">
        <f t="array" ref="N465">_xlfn.IFS(M465&gt;=70,"A",M465&gt;=60,"B",M465&gt;=50,"C",M465&gt;=45,"D",M465&gt;=40,"E",TRUE,"F")</f>
        <v>B</v>
      </c>
      <c r="O465">
        <f t="shared" si="23"/>
        <v>10</v>
      </c>
    </row>
    <row r="466" spans="1:15" x14ac:dyDescent="0.35">
      <c r="A466" s="2" t="s">
        <v>441</v>
      </c>
      <c r="B466" s="2" t="s">
        <v>442</v>
      </c>
      <c r="C466" s="2" t="s">
        <v>23</v>
      </c>
      <c r="D466" s="2" t="s">
        <v>351</v>
      </c>
      <c r="E466" s="2" t="s">
        <v>17</v>
      </c>
      <c r="F466" s="2">
        <v>65</v>
      </c>
      <c r="G466" s="2">
        <v>78</v>
      </c>
      <c r="H466" s="2">
        <v>62</v>
      </c>
      <c r="I466" s="2">
        <v>62</v>
      </c>
      <c r="J466" s="2">
        <v>83</v>
      </c>
      <c r="K466" s="2">
        <v>82</v>
      </c>
      <c r="L466">
        <f t="shared" si="21"/>
        <v>432</v>
      </c>
      <c r="M466" s="4">
        <f t="shared" si="22"/>
        <v>72</v>
      </c>
      <c r="N466" t="str" cm="1">
        <f t="array" ref="N466">_xlfn.IFS(M466&gt;=70,"A",M466&gt;=60,"B",M466&gt;=50,"C",M466&gt;=45,"D",M466&gt;=40,"E",TRUE,"F")</f>
        <v>A</v>
      </c>
      <c r="O466">
        <f t="shared" si="23"/>
        <v>10</v>
      </c>
    </row>
    <row r="467" spans="1:15" x14ac:dyDescent="0.35">
      <c r="A467" s="2" t="s">
        <v>444</v>
      </c>
      <c r="B467" s="2" t="s">
        <v>445</v>
      </c>
      <c r="C467" s="2" t="s">
        <v>18</v>
      </c>
      <c r="D467" s="2" t="s">
        <v>351</v>
      </c>
      <c r="E467" s="2" t="s">
        <v>20</v>
      </c>
      <c r="F467" s="2">
        <v>83</v>
      </c>
      <c r="G467" s="2">
        <v>92</v>
      </c>
      <c r="H467" s="2">
        <v>77</v>
      </c>
      <c r="I467" s="2">
        <v>81</v>
      </c>
      <c r="J467" s="2">
        <v>85</v>
      </c>
      <c r="K467" s="2">
        <v>86</v>
      </c>
      <c r="L467">
        <f t="shared" si="21"/>
        <v>504</v>
      </c>
      <c r="M467" s="4">
        <f t="shared" si="22"/>
        <v>84</v>
      </c>
      <c r="N467" t="str" cm="1">
        <f t="array" ref="N467">_xlfn.IFS(M467&gt;=70,"A",M467&gt;=60,"B",M467&gt;=50,"C",M467&gt;=45,"D",M467&gt;=40,"E",TRUE,"F")</f>
        <v>A</v>
      </c>
      <c r="O467">
        <f t="shared" si="23"/>
        <v>3</v>
      </c>
    </row>
    <row r="468" spans="1:15" x14ac:dyDescent="0.35">
      <c r="A468" s="2" t="s">
        <v>444</v>
      </c>
      <c r="B468" s="2" t="s">
        <v>445</v>
      </c>
      <c r="C468" s="2" t="s">
        <v>18</v>
      </c>
      <c r="D468" s="2" t="s">
        <v>351</v>
      </c>
      <c r="E468" s="2" t="s">
        <v>15</v>
      </c>
      <c r="F468" s="2">
        <v>62</v>
      </c>
      <c r="G468" s="2">
        <v>71</v>
      </c>
      <c r="H468" s="2">
        <v>81</v>
      </c>
      <c r="I468" s="2">
        <v>65</v>
      </c>
      <c r="J468" s="2">
        <v>83</v>
      </c>
      <c r="K468" s="2">
        <v>79</v>
      </c>
      <c r="L468">
        <f t="shared" si="21"/>
        <v>441</v>
      </c>
      <c r="M468" s="4">
        <f t="shared" si="22"/>
        <v>73.5</v>
      </c>
      <c r="N468" t="str" cm="1">
        <f t="array" ref="N468">_xlfn.IFS(M468&gt;=70,"A",M468&gt;=60,"B",M468&gt;=50,"C",M468&gt;=45,"D",M468&gt;=40,"E",TRUE,"F")</f>
        <v>A</v>
      </c>
      <c r="O468">
        <f t="shared" si="23"/>
        <v>5</v>
      </c>
    </row>
    <row r="469" spans="1:15" x14ac:dyDescent="0.35">
      <c r="A469" s="2" t="s">
        <v>444</v>
      </c>
      <c r="B469" s="2" t="s">
        <v>445</v>
      </c>
      <c r="C469" s="2" t="s">
        <v>18</v>
      </c>
      <c r="D469" s="2" t="s">
        <v>351</v>
      </c>
      <c r="E469" s="2" t="s">
        <v>17</v>
      </c>
      <c r="F469" s="2">
        <v>75</v>
      </c>
      <c r="G469" s="2">
        <v>89</v>
      </c>
      <c r="H469" s="2">
        <v>70</v>
      </c>
      <c r="I469" s="2">
        <v>79</v>
      </c>
      <c r="J469" s="2">
        <v>67</v>
      </c>
      <c r="K469" s="2">
        <v>76</v>
      </c>
      <c r="L469">
        <f t="shared" si="21"/>
        <v>456</v>
      </c>
      <c r="M469" s="4">
        <f t="shared" si="22"/>
        <v>76</v>
      </c>
      <c r="N469" t="str" cm="1">
        <f t="array" ref="N469">_xlfn.IFS(M469&gt;=70,"A",M469&gt;=60,"B",M469&gt;=50,"C",M469&gt;=45,"D",M469&gt;=40,"E",TRUE,"F")</f>
        <v>A</v>
      </c>
      <c r="O469">
        <f t="shared" si="23"/>
        <v>5</v>
      </c>
    </row>
    <row r="470" spans="1:15" x14ac:dyDescent="0.35">
      <c r="A470" s="2" t="s">
        <v>446</v>
      </c>
      <c r="B470" s="2" t="s">
        <v>447</v>
      </c>
      <c r="C470" s="2" t="s">
        <v>23</v>
      </c>
      <c r="D470" s="2" t="s">
        <v>351</v>
      </c>
      <c r="E470" s="2" t="s">
        <v>20</v>
      </c>
      <c r="F470" s="2">
        <v>66</v>
      </c>
      <c r="G470" s="2">
        <v>73</v>
      </c>
      <c r="H470" s="2">
        <v>82</v>
      </c>
      <c r="I470" s="2">
        <v>70</v>
      </c>
      <c r="J470" s="2">
        <v>74</v>
      </c>
      <c r="K470" s="2">
        <v>81</v>
      </c>
      <c r="L470">
        <f t="shared" si="21"/>
        <v>446</v>
      </c>
      <c r="M470" s="4">
        <f t="shared" si="22"/>
        <v>74.333333333333329</v>
      </c>
      <c r="N470" t="str" cm="1">
        <f t="array" ref="N470">_xlfn.IFS(M470&gt;=70,"A",M470&gt;=60,"B",M470&gt;=50,"C",M470&gt;=45,"D",M470&gt;=40,"E",TRUE,"F")</f>
        <v>A</v>
      </c>
      <c r="O470">
        <f t="shared" si="23"/>
        <v>10</v>
      </c>
    </row>
    <row r="471" spans="1:15" x14ac:dyDescent="0.35">
      <c r="A471" s="2" t="s">
        <v>446</v>
      </c>
      <c r="B471" s="2" t="s">
        <v>447</v>
      </c>
      <c r="C471" s="2" t="s">
        <v>23</v>
      </c>
      <c r="D471" s="2" t="s">
        <v>351</v>
      </c>
      <c r="E471" s="2" t="s">
        <v>15</v>
      </c>
      <c r="F471" s="2">
        <v>85</v>
      </c>
      <c r="G471" s="2">
        <v>68</v>
      </c>
      <c r="H471" s="2">
        <v>61</v>
      </c>
      <c r="I471" s="2">
        <v>73</v>
      </c>
      <c r="J471" s="2">
        <v>70</v>
      </c>
      <c r="K471" s="2">
        <v>82</v>
      </c>
      <c r="L471">
        <f t="shared" si="21"/>
        <v>439</v>
      </c>
      <c r="M471" s="4">
        <f t="shared" si="22"/>
        <v>73.166666666666671</v>
      </c>
      <c r="N471" t="str" cm="1">
        <f t="array" ref="N471">_xlfn.IFS(M471&gt;=70,"A",M471&gt;=60,"B",M471&gt;=50,"C",M471&gt;=45,"D",M471&gt;=40,"E",TRUE,"F")</f>
        <v>A</v>
      </c>
      <c r="O471">
        <f t="shared" si="23"/>
        <v>6</v>
      </c>
    </row>
    <row r="472" spans="1:15" x14ac:dyDescent="0.35">
      <c r="A472" s="2" t="s">
        <v>446</v>
      </c>
      <c r="B472" s="2" t="s">
        <v>447</v>
      </c>
      <c r="C472" s="2" t="s">
        <v>23</v>
      </c>
      <c r="D472" s="2" t="s">
        <v>351</v>
      </c>
      <c r="E472" s="2" t="s">
        <v>17</v>
      </c>
      <c r="F472" s="2">
        <v>69</v>
      </c>
      <c r="G472" s="2">
        <v>64</v>
      </c>
      <c r="H472" s="2">
        <v>73</v>
      </c>
      <c r="I472" s="2">
        <v>76</v>
      </c>
      <c r="J472" s="2">
        <v>81</v>
      </c>
      <c r="K472" s="2">
        <v>76</v>
      </c>
      <c r="L472">
        <f t="shared" si="21"/>
        <v>439</v>
      </c>
      <c r="M472" s="4">
        <f t="shared" si="22"/>
        <v>73.166666666666671</v>
      </c>
      <c r="N472" t="str" cm="1">
        <f t="array" ref="N472">_xlfn.IFS(M472&gt;=70,"A",M472&gt;=60,"B",M472&gt;=50,"C",M472&gt;=45,"D",M472&gt;=40,"E",TRUE,"F")</f>
        <v>A</v>
      </c>
      <c r="O472">
        <f t="shared" si="23"/>
        <v>9</v>
      </c>
    </row>
    <row r="473" spans="1:15" x14ac:dyDescent="0.35">
      <c r="A473" s="2" t="s">
        <v>450</v>
      </c>
      <c r="B473" s="2" t="s">
        <v>451</v>
      </c>
      <c r="C473" s="2" t="s">
        <v>23</v>
      </c>
      <c r="D473" s="2" t="s">
        <v>351</v>
      </c>
      <c r="E473" s="2" t="s">
        <v>20</v>
      </c>
      <c r="F473" s="2">
        <v>98</v>
      </c>
      <c r="G473" s="2">
        <v>98</v>
      </c>
      <c r="H473" s="2">
        <v>90</v>
      </c>
      <c r="I473" s="2">
        <v>98</v>
      </c>
      <c r="J473" s="2">
        <v>98</v>
      </c>
      <c r="K473" s="2">
        <v>98</v>
      </c>
      <c r="L473">
        <f t="shared" si="21"/>
        <v>580</v>
      </c>
      <c r="M473" s="4">
        <f t="shared" si="22"/>
        <v>96.666666666666671</v>
      </c>
      <c r="N473" t="str" cm="1">
        <f t="array" ref="N473">_xlfn.IFS(M473&gt;=70,"A",M473&gt;=60,"B",M473&gt;=50,"C",M473&gt;=45,"D",M473&gt;=40,"E",TRUE,"F")</f>
        <v>A</v>
      </c>
      <c r="O473">
        <f t="shared" si="23"/>
        <v>1</v>
      </c>
    </row>
    <row r="474" spans="1:15" x14ac:dyDescent="0.35">
      <c r="A474" s="2" t="s">
        <v>450</v>
      </c>
      <c r="B474" s="2" t="s">
        <v>451</v>
      </c>
      <c r="C474" s="2" t="s">
        <v>23</v>
      </c>
      <c r="D474" s="2" t="s">
        <v>351</v>
      </c>
      <c r="E474" s="2" t="s">
        <v>15</v>
      </c>
      <c r="F474" s="2">
        <v>88</v>
      </c>
      <c r="G474" s="2">
        <v>98</v>
      </c>
      <c r="H474" s="2">
        <v>91</v>
      </c>
      <c r="I474" s="2">
        <v>98</v>
      </c>
      <c r="J474" s="2">
        <v>98</v>
      </c>
      <c r="K474" s="2">
        <v>95</v>
      </c>
      <c r="L474">
        <f t="shared" si="21"/>
        <v>568</v>
      </c>
      <c r="M474" s="4">
        <f t="shared" si="22"/>
        <v>94.666666666666671</v>
      </c>
      <c r="N474" t="str" cm="1">
        <f t="array" ref="N474">_xlfn.IFS(M474&gt;=70,"A",M474&gt;=60,"B",M474&gt;=50,"C",M474&gt;=45,"D",M474&gt;=40,"E",TRUE,"F")</f>
        <v>A</v>
      </c>
      <c r="O474">
        <f t="shared" si="23"/>
        <v>1</v>
      </c>
    </row>
    <row r="475" spans="1:15" x14ac:dyDescent="0.35">
      <c r="A475" s="2" t="s">
        <v>450</v>
      </c>
      <c r="B475" s="2" t="s">
        <v>451</v>
      </c>
      <c r="C475" s="2" t="s">
        <v>23</v>
      </c>
      <c r="D475" s="2" t="s">
        <v>351</v>
      </c>
      <c r="E475" s="2" t="s">
        <v>17</v>
      </c>
      <c r="F475" s="2">
        <v>92</v>
      </c>
      <c r="G475" s="2">
        <v>98</v>
      </c>
      <c r="H475" s="2">
        <v>92</v>
      </c>
      <c r="I475" s="2">
        <v>98</v>
      </c>
      <c r="J475" s="2">
        <v>98</v>
      </c>
      <c r="K475" s="2">
        <v>98</v>
      </c>
      <c r="L475">
        <f t="shared" si="21"/>
        <v>576</v>
      </c>
      <c r="M475" s="4">
        <f t="shared" si="22"/>
        <v>96</v>
      </c>
      <c r="N475" t="str" cm="1">
        <f t="array" ref="N475">_xlfn.IFS(M475&gt;=70,"A",M475&gt;=60,"B",M475&gt;=50,"C",M475&gt;=45,"D",M475&gt;=40,"E",TRUE,"F")</f>
        <v>A</v>
      </c>
      <c r="O475">
        <f t="shared" si="23"/>
        <v>1</v>
      </c>
    </row>
    <row r="476" spans="1:15" x14ac:dyDescent="0.35">
      <c r="A476" s="2" t="s">
        <v>453</v>
      </c>
      <c r="B476" s="2" t="s">
        <v>454</v>
      </c>
      <c r="C476" s="2" t="s">
        <v>18</v>
      </c>
      <c r="D476" s="2" t="s">
        <v>351</v>
      </c>
      <c r="E476" s="2" t="s">
        <v>20</v>
      </c>
      <c r="F476" s="2">
        <v>61</v>
      </c>
      <c r="G476" s="2">
        <v>61</v>
      </c>
      <c r="H476" s="2">
        <v>72</v>
      </c>
      <c r="I476" s="2">
        <v>73</v>
      </c>
      <c r="J476" s="2">
        <v>77</v>
      </c>
      <c r="K476" s="2">
        <v>73</v>
      </c>
      <c r="L476">
        <f t="shared" si="21"/>
        <v>417</v>
      </c>
      <c r="M476" s="4">
        <f t="shared" si="22"/>
        <v>69.5</v>
      </c>
      <c r="N476" t="str" cm="1">
        <f t="array" ref="N476">_xlfn.IFS(M476&gt;=70,"A",M476&gt;=60,"B",M476&gt;=50,"C",M476&gt;=45,"D",M476&gt;=40,"E",TRUE,"F")</f>
        <v>B</v>
      </c>
      <c r="O476">
        <f t="shared" si="23"/>
        <v>13</v>
      </c>
    </row>
    <row r="477" spans="1:15" x14ac:dyDescent="0.35">
      <c r="A477" s="2" t="s">
        <v>453</v>
      </c>
      <c r="B477" s="2" t="s">
        <v>454</v>
      </c>
      <c r="C477" s="2" t="s">
        <v>18</v>
      </c>
      <c r="D477" s="2" t="s">
        <v>351</v>
      </c>
      <c r="E477" s="2" t="s">
        <v>15</v>
      </c>
      <c r="F477" s="2">
        <v>58</v>
      </c>
      <c r="G477" s="2">
        <v>56</v>
      </c>
      <c r="H477" s="2">
        <v>72</v>
      </c>
      <c r="I477" s="2">
        <v>78</v>
      </c>
      <c r="J477" s="2">
        <v>65</v>
      </c>
      <c r="K477" s="2">
        <v>77</v>
      </c>
      <c r="L477">
        <f t="shared" si="21"/>
        <v>406</v>
      </c>
      <c r="M477" s="4">
        <f t="shared" si="22"/>
        <v>67.666666666666671</v>
      </c>
      <c r="N477" t="str" cm="1">
        <f t="array" ref="N477">_xlfn.IFS(M477&gt;=70,"A",M477&gt;=60,"B",M477&gt;=50,"C",M477&gt;=45,"D",M477&gt;=40,"E",TRUE,"F")</f>
        <v>B</v>
      </c>
      <c r="O477">
        <f t="shared" si="23"/>
        <v>11</v>
      </c>
    </row>
    <row r="478" spans="1:15" x14ac:dyDescent="0.35">
      <c r="A478" s="2" t="s">
        <v>453</v>
      </c>
      <c r="B478" s="2" t="s">
        <v>454</v>
      </c>
      <c r="C478" s="2" t="s">
        <v>18</v>
      </c>
      <c r="D478" s="2" t="s">
        <v>351</v>
      </c>
      <c r="E478" s="2" t="s">
        <v>17</v>
      </c>
      <c r="F478" s="2">
        <v>68</v>
      </c>
      <c r="G478" s="2">
        <v>73</v>
      </c>
      <c r="H478" s="2">
        <v>57</v>
      </c>
      <c r="I478" s="2">
        <v>88</v>
      </c>
      <c r="J478" s="2">
        <v>87</v>
      </c>
      <c r="K478" s="2">
        <v>71</v>
      </c>
      <c r="L478">
        <f t="shared" si="21"/>
        <v>444</v>
      </c>
      <c r="M478" s="4">
        <f t="shared" si="22"/>
        <v>74</v>
      </c>
      <c r="N478" t="str" cm="1">
        <f t="array" ref="N478">_xlfn.IFS(M478&gt;=70,"A",M478&gt;=60,"B",M478&gt;=50,"C",M478&gt;=45,"D",M478&gt;=40,"E",TRUE,"F")</f>
        <v>A</v>
      </c>
      <c r="O478">
        <f t="shared" si="23"/>
        <v>7</v>
      </c>
    </row>
    <row r="479" spans="1:15" x14ac:dyDescent="0.35">
      <c r="A479" s="2" t="s">
        <v>455</v>
      </c>
      <c r="B479" s="2" t="s">
        <v>456</v>
      </c>
      <c r="C479" s="2" t="s">
        <v>23</v>
      </c>
      <c r="D479" s="2" t="s">
        <v>351</v>
      </c>
      <c r="E479" s="2" t="s">
        <v>20</v>
      </c>
      <c r="F479" s="2">
        <v>34</v>
      </c>
      <c r="G479" s="2">
        <v>53</v>
      </c>
      <c r="H479" s="2">
        <v>50</v>
      </c>
      <c r="I479" s="2">
        <v>56</v>
      </c>
      <c r="J479" s="2">
        <v>48</v>
      </c>
      <c r="K479" s="2">
        <v>47</v>
      </c>
      <c r="L479">
        <f t="shared" si="21"/>
        <v>288</v>
      </c>
      <c r="M479" s="4">
        <f t="shared" si="22"/>
        <v>48</v>
      </c>
      <c r="N479" t="str" cm="1">
        <f t="array" ref="N479">_xlfn.IFS(M479&gt;=70,"A",M479&gt;=60,"B",M479&gt;=50,"C",M479&gt;=45,"D",M479&gt;=40,"E",TRUE,"F")</f>
        <v>D</v>
      </c>
      <c r="O479">
        <f t="shared" si="23"/>
        <v>35</v>
      </c>
    </row>
    <row r="480" spans="1:15" x14ac:dyDescent="0.35">
      <c r="A480" s="2" t="s">
        <v>455</v>
      </c>
      <c r="B480" s="2" t="s">
        <v>456</v>
      </c>
      <c r="C480" s="2" t="s">
        <v>23</v>
      </c>
      <c r="D480" s="2" t="s">
        <v>351</v>
      </c>
      <c r="E480" s="2" t="s">
        <v>15</v>
      </c>
      <c r="F480" s="2">
        <v>35</v>
      </c>
      <c r="G480" s="2">
        <v>43</v>
      </c>
      <c r="H480" s="2">
        <v>43</v>
      </c>
      <c r="I480" s="2">
        <v>54</v>
      </c>
      <c r="J480" s="2">
        <v>52</v>
      </c>
      <c r="K480" s="2">
        <v>61</v>
      </c>
      <c r="L480">
        <f t="shared" si="21"/>
        <v>288</v>
      </c>
      <c r="M480" s="4">
        <f t="shared" si="22"/>
        <v>48</v>
      </c>
      <c r="N480" t="str" cm="1">
        <f t="array" ref="N480">_xlfn.IFS(M480&gt;=70,"A",M480&gt;=60,"B",M480&gt;=50,"C",M480&gt;=45,"D",M480&gt;=40,"E",TRUE,"F")</f>
        <v>D</v>
      </c>
      <c r="O480">
        <f t="shared" si="23"/>
        <v>35</v>
      </c>
    </row>
    <row r="481" spans="1:15" x14ac:dyDescent="0.35">
      <c r="A481" s="2" t="s">
        <v>455</v>
      </c>
      <c r="B481" s="2" t="s">
        <v>456</v>
      </c>
      <c r="C481" s="2" t="s">
        <v>23</v>
      </c>
      <c r="D481" s="2" t="s">
        <v>351</v>
      </c>
      <c r="E481" s="2" t="s">
        <v>17</v>
      </c>
      <c r="F481" s="2">
        <v>48</v>
      </c>
      <c r="G481" s="2">
        <v>55</v>
      </c>
      <c r="H481" s="2">
        <v>49</v>
      </c>
      <c r="I481" s="2">
        <v>65</v>
      </c>
      <c r="J481" s="2">
        <v>68</v>
      </c>
      <c r="K481" s="2">
        <v>51</v>
      </c>
      <c r="L481">
        <f t="shared" si="21"/>
        <v>336</v>
      </c>
      <c r="M481" s="4">
        <f t="shared" si="22"/>
        <v>56</v>
      </c>
      <c r="N481" t="str" cm="1">
        <f t="array" ref="N481">_xlfn.IFS(M481&gt;=70,"A",M481&gt;=60,"B",M481&gt;=50,"C",M481&gt;=45,"D",M481&gt;=40,"E",TRUE,"F")</f>
        <v>C</v>
      </c>
      <c r="O481">
        <f t="shared" si="23"/>
        <v>30</v>
      </c>
    </row>
    <row r="482" spans="1:15" x14ac:dyDescent="0.35">
      <c r="A482" s="2" t="s">
        <v>458</v>
      </c>
      <c r="B482" s="2" t="s">
        <v>462</v>
      </c>
      <c r="C482" s="2" t="s">
        <v>18</v>
      </c>
      <c r="D482" s="2" t="s">
        <v>460</v>
      </c>
      <c r="E482" s="2" t="s">
        <v>15</v>
      </c>
      <c r="F482" s="2">
        <v>51</v>
      </c>
      <c r="G482" s="2">
        <v>71</v>
      </c>
      <c r="H482" s="2">
        <v>55</v>
      </c>
      <c r="I482" s="2">
        <v>66</v>
      </c>
      <c r="J482" s="2">
        <v>58</v>
      </c>
      <c r="K482" s="2">
        <v>58</v>
      </c>
      <c r="L482">
        <f t="shared" si="21"/>
        <v>359</v>
      </c>
      <c r="M482" s="4">
        <f t="shared" si="22"/>
        <v>59.833333333333336</v>
      </c>
      <c r="N482" t="str" cm="1">
        <f t="array" ref="N482">_xlfn.IFS(M482&gt;=70,"A",M482&gt;=60,"B",M482&gt;=50,"C",M482&gt;=45,"D",M482&gt;=40,"E",TRUE,"F")</f>
        <v>C</v>
      </c>
      <c r="O482">
        <f t="shared" si="23"/>
        <v>17</v>
      </c>
    </row>
    <row r="483" spans="1:15" x14ac:dyDescent="0.35">
      <c r="A483" s="2" t="s">
        <v>458</v>
      </c>
      <c r="B483" s="2" t="s">
        <v>462</v>
      </c>
      <c r="C483" s="2" t="s">
        <v>18</v>
      </c>
      <c r="D483" s="2" t="s">
        <v>460</v>
      </c>
      <c r="E483" s="2" t="s">
        <v>17</v>
      </c>
      <c r="F483" s="2">
        <v>46</v>
      </c>
      <c r="G483" s="2">
        <v>42</v>
      </c>
      <c r="H483" s="2">
        <v>51</v>
      </c>
      <c r="I483" s="2">
        <v>67</v>
      </c>
      <c r="J483" s="2">
        <v>62</v>
      </c>
      <c r="K483" s="2">
        <v>58</v>
      </c>
      <c r="L483">
        <f t="shared" si="21"/>
        <v>326</v>
      </c>
      <c r="M483" s="4">
        <f t="shared" si="22"/>
        <v>54.333333333333336</v>
      </c>
      <c r="N483" t="str" cm="1">
        <f t="array" ref="N483">_xlfn.IFS(M483&gt;=70,"A",M483&gt;=60,"B",M483&gt;=50,"C",M483&gt;=45,"D",M483&gt;=40,"E",TRUE,"F")</f>
        <v>C</v>
      </c>
      <c r="O483">
        <f t="shared" si="23"/>
        <v>30</v>
      </c>
    </row>
    <row r="484" spans="1:15" x14ac:dyDescent="0.35">
      <c r="A484" s="2" t="s">
        <v>458</v>
      </c>
      <c r="B484" s="2" t="s">
        <v>462</v>
      </c>
      <c r="C484" s="2" t="s">
        <v>18</v>
      </c>
      <c r="D484" s="2" t="s">
        <v>460</v>
      </c>
      <c r="E484" s="2" t="s">
        <v>20</v>
      </c>
      <c r="F484" s="2">
        <v>50</v>
      </c>
      <c r="G484" s="2">
        <v>59</v>
      </c>
      <c r="H484" s="2">
        <v>61</v>
      </c>
      <c r="I484" s="2">
        <v>55</v>
      </c>
      <c r="J484" s="2">
        <v>61</v>
      </c>
      <c r="K484" s="2">
        <v>65</v>
      </c>
      <c r="L484">
        <f t="shared" si="21"/>
        <v>351</v>
      </c>
      <c r="M484" s="4">
        <f t="shared" si="22"/>
        <v>58.5</v>
      </c>
      <c r="N484" t="str" cm="1">
        <f t="array" ref="N484">_xlfn.IFS(M484&gt;=70,"A",M484&gt;=60,"B",M484&gt;=50,"C",M484&gt;=45,"D",M484&gt;=40,"E",TRUE,"F")</f>
        <v>C</v>
      </c>
      <c r="O484">
        <f t="shared" si="23"/>
        <v>28</v>
      </c>
    </row>
    <row r="485" spans="1:15" x14ac:dyDescent="0.35">
      <c r="A485" s="2" t="s">
        <v>463</v>
      </c>
      <c r="B485" s="2" t="s">
        <v>464</v>
      </c>
      <c r="C485" s="2" t="s">
        <v>23</v>
      </c>
      <c r="D485" s="2" t="s">
        <v>460</v>
      </c>
      <c r="E485" s="2" t="s">
        <v>15</v>
      </c>
      <c r="F485" s="2">
        <v>65</v>
      </c>
      <c r="G485" s="2">
        <v>55</v>
      </c>
      <c r="H485" s="2">
        <v>59</v>
      </c>
      <c r="I485" s="2">
        <v>54</v>
      </c>
      <c r="J485" s="2">
        <v>62</v>
      </c>
      <c r="K485" s="2">
        <v>72</v>
      </c>
      <c r="L485">
        <f t="shared" si="21"/>
        <v>367</v>
      </c>
      <c r="M485" s="4">
        <f t="shared" si="22"/>
        <v>61.166666666666664</v>
      </c>
      <c r="N485" t="str" cm="1">
        <f t="array" ref="N485">_xlfn.IFS(M485&gt;=70,"A",M485&gt;=60,"B",M485&gt;=50,"C",M485&gt;=45,"D",M485&gt;=40,"E",TRUE,"F")</f>
        <v>B</v>
      </c>
      <c r="O485">
        <f t="shared" si="23"/>
        <v>15</v>
      </c>
    </row>
    <row r="486" spans="1:15" x14ac:dyDescent="0.35">
      <c r="A486" s="2" t="s">
        <v>463</v>
      </c>
      <c r="B486" s="2" t="s">
        <v>464</v>
      </c>
      <c r="C486" s="2" t="s">
        <v>23</v>
      </c>
      <c r="D486" s="2" t="s">
        <v>460</v>
      </c>
      <c r="E486" s="2" t="s">
        <v>17</v>
      </c>
      <c r="F486" s="2">
        <v>68</v>
      </c>
      <c r="G486" s="2">
        <v>61</v>
      </c>
      <c r="H486" s="2">
        <v>58</v>
      </c>
      <c r="I486" s="2">
        <v>59</v>
      </c>
      <c r="J486" s="2">
        <v>57</v>
      </c>
      <c r="K486" s="2">
        <v>62</v>
      </c>
      <c r="L486">
        <f t="shared" si="21"/>
        <v>365</v>
      </c>
      <c r="M486" s="4">
        <f t="shared" si="22"/>
        <v>60.833333333333336</v>
      </c>
      <c r="N486" t="str" cm="1">
        <f t="array" ref="N486">_xlfn.IFS(M486&gt;=70,"A",M486&gt;=60,"B",M486&gt;=50,"C",M486&gt;=45,"D",M486&gt;=40,"E",TRUE,"F")</f>
        <v>B</v>
      </c>
      <c r="O486">
        <f t="shared" si="23"/>
        <v>20</v>
      </c>
    </row>
    <row r="487" spans="1:15" x14ac:dyDescent="0.35">
      <c r="A487" s="2" t="s">
        <v>463</v>
      </c>
      <c r="B487" s="2" t="s">
        <v>464</v>
      </c>
      <c r="C487" s="2" t="s">
        <v>23</v>
      </c>
      <c r="D487" s="2" t="s">
        <v>460</v>
      </c>
      <c r="E487" s="2" t="s">
        <v>20</v>
      </c>
      <c r="F487" s="2">
        <v>60</v>
      </c>
      <c r="G487" s="2">
        <v>47</v>
      </c>
      <c r="H487" s="2">
        <v>58</v>
      </c>
      <c r="I487" s="2">
        <v>60</v>
      </c>
      <c r="J487" s="2">
        <v>58</v>
      </c>
      <c r="K487" s="2">
        <v>69</v>
      </c>
      <c r="L487">
        <f t="shared" si="21"/>
        <v>352</v>
      </c>
      <c r="M487" s="4">
        <f t="shared" si="22"/>
        <v>58.666666666666664</v>
      </c>
      <c r="N487" t="str" cm="1">
        <f t="array" ref="N487">_xlfn.IFS(M487&gt;=70,"A",M487&gt;=60,"B",M487&gt;=50,"C",M487&gt;=45,"D",M487&gt;=40,"E",TRUE,"F")</f>
        <v>C</v>
      </c>
      <c r="O487">
        <f t="shared" si="23"/>
        <v>27</v>
      </c>
    </row>
    <row r="488" spans="1:15" x14ac:dyDescent="0.35">
      <c r="A488" s="2" t="s">
        <v>465</v>
      </c>
      <c r="B488" s="2" t="s">
        <v>467</v>
      </c>
      <c r="C488" s="2" t="s">
        <v>23</v>
      </c>
      <c r="D488" s="2" t="s">
        <v>460</v>
      </c>
      <c r="E488" s="2" t="s">
        <v>15</v>
      </c>
      <c r="F488" s="2">
        <v>56</v>
      </c>
      <c r="G488" s="2">
        <v>60</v>
      </c>
      <c r="H488" s="2">
        <v>61</v>
      </c>
      <c r="I488" s="2">
        <v>60</v>
      </c>
      <c r="J488" s="2">
        <v>60</v>
      </c>
      <c r="K488" s="2">
        <v>68</v>
      </c>
      <c r="L488">
        <f t="shared" si="21"/>
        <v>365</v>
      </c>
      <c r="M488" s="4">
        <f t="shared" si="22"/>
        <v>60.833333333333336</v>
      </c>
      <c r="N488" t="str" cm="1">
        <f t="array" ref="N488">_xlfn.IFS(M488&gt;=70,"A",M488&gt;=60,"B",M488&gt;=50,"C",M488&gt;=45,"D",M488&gt;=40,"E",TRUE,"F")</f>
        <v>B</v>
      </c>
      <c r="O488">
        <f t="shared" si="23"/>
        <v>16</v>
      </c>
    </row>
    <row r="489" spans="1:15" x14ac:dyDescent="0.35">
      <c r="A489" s="2" t="s">
        <v>465</v>
      </c>
      <c r="B489" s="2" t="s">
        <v>467</v>
      </c>
      <c r="C489" s="2" t="s">
        <v>23</v>
      </c>
      <c r="D489" s="2" t="s">
        <v>460</v>
      </c>
      <c r="E489" s="2" t="s">
        <v>17</v>
      </c>
      <c r="F489" s="2">
        <v>59</v>
      </c>
      <c r="G489" s="2">
        <v>79</v>
      </c>
      <c r="H489" s="2">
        <v>70</v>
      </c>
      <c r="I489" s="2">
        <v>68</v>
      </c>
      <c r="J489" s="2">
        <v>76</v>
      </c>
      <c r="K489" s="2">
        <v>84</v>
      </c>
      <c r="L489">
        <f t="shared" si="21"/>
        <v>436</v>
      </c>
      <c r="M489" s="4">
        <f t="shared" si="22"/>
        <v>72.666666666666671</v>
      </c>
      <c r="N489" t="str" cm="1">
        <f t="array" ref="N489">_xlfn.IFS(M489&gt;=70,"A",M489&gt;=60,"B",M489&gt;=50,"C",M489&gt;=45,"D",M489&gt;=40,"E",TRUE,"F")</f>
        <v>A</v>
      </c>
      <c r="O489">
        <f t="shared" si="23"/>
        <v>7</v>
      </c>
    </row>
    <row r="490" spans="1:15" x14ac:dyDescent="0.35">
      <c r="A490" s="2" t="s">
        <v>465</v>
      </c>
      <c r="B490" s="2" t="s">
        <v>467</v>
      </c>
      <c r="C490" s="2" t="s">
        <v>23</v>
      </c>
      <c r="D490" s="2" t="s">
        <v>460</v>
      </c>
      <c r="E490" s="2" t="s">
        <v>20</v>
      </c>
      <c r="F490" s="2">
        <v>76</v>
      </c>
      <c r="G490" s="2">
        <v>90</v>
      </c>
      <c r="H490" s="2">
        <v>71</v>
      </c>
      <c r="I490" s="2">
        <v>90</v>
      </c>
      <c r="J490" s="2">
        <v>80</v>
      </c>
      <c r="K490" s="2">
        <v>85</v>
      </c>
      <c r="L490">
        <f t="shared" si="21"/>
        <v>492</v>
      </c>
      <c r="M490" s="4">
        <f t="shared" si="22"/>
        <v>82</v>
      </c>
      <c r="N490" t="str" cm="1">
        <f t="array" ref="N490">_xlfn.IFS(M490&gt;=70,"A",M490&gt;=60,"B",M490&gt;=50,"C",M490&gt;=45,"D",M490&gt;=40,"E",TRUE,"F")</f>
        <v>A</v>
      </c>
      <c r="O490">
        <f t="shared" si="23"/>
        <v>3</v>
      </c>
    </row>
    <row r="491" spans="1:15" x14ac:dyDescent="0.35">
      <c r="A491" s="2" t="s">
        <v>468</v>
      </c>
      <c r="B491" s="2" t="s">
        <v>469</v>
      </c>
      <c r="C491" s="2" t="s">
        <v>23</v>
      </c>
      <c r="D491" s="2" t="s">
        <v>460</v>
      </c>
      <c r="E491" s="2" t="s">
        <v>15</v>
      </c>
      <c r="F491" s="2">
        <v>40</v>
      </c>
      <c r="G491" s="2">
        <v>44</v>
      </c>
      <c r="H491" s="2">
        <v>62</v>
      </c>
      <c r="I491" s="2">
        <v>68</v>
      </c>
      <c r="J491" s="2"/>
      <c r="K491" s="2">
        <v>63</v>
      </c>
      <c r="L491">
        <f t="shared" si="21"/>
        <v>277</v>
      </c>
      <c r="M491" s="4">
        <f t="shared" si="22"/>
        <v>55.4</v>
      </c>
      <c r="N491" t="str" cm="1">
        <f t="array" ref="N491">_xlfn.IFS(M491&gt;=70,"A",M491&gt;=60,"B",M491&gt;=50,"C",M491&gt;=45,"D",M491&gt;=40,"E",TRUE,"F")</f>
        <v>C</v>
      </c>
      <c r="O491">
        <f t="shared" si="23"/>
        <v>25</v>
      </c>
    </row>
    <row r="492" spans="1:15" x14ac:dyDescent="0.35">
      <c r="A492" s="2" t="s">
        <v>468</v>
      </c>
      <c r="B492" s="2" t="s">
        <v>469</v>
      </c>
      <c r="C492" s="2" t="s">
        <v>23</v>
      </c>
      <c r="D492" s="2" t="s">
        <v>460</v>
      </c>
      <c r="E492" s="2" t="s">
        <v>17</v>
      </c>
      <c r="F492" s="2">
        <v>53</v>
      </c>
      <c r="G492" s="2">
        <v>69</v>
      </c>
      <c r="H492" s="2">
        <v>43</v>
      </c>
      <c r="I492" s="2">
        <v>72</v>
      </c>
      <c r="J492" s="2">
        <v>50</v>
      </c>
      <c r="K492" s="2">
        <v>75</v>
      </c>
      <c r="L492">
        <f t="shared" si="21"/>
        <v>362</v>
      </c>
      <c r="M492" s="4">
        <f t="shared" si="22"/>
        <v>60.333333333333336</v>
      </c>
      <c r="N492" t="str" cm="1">
        <f t="array" ref="N492">_xlfn.IFS(M492&gt;=70,"A",M492&gt;=60,"B",M492&gt;=50,"C",M492&gt;=45,"D",M492&gt;=40,"E",TRUE,"F")</f>
        <v>B</v>
      </c>
      <c r="O492">
        <f t="shared" si="23"/>
        <v>21</v>
      </c>
    </row>
    <row r="493" spans="1:15" x14ac:dyDescent="0.35">
      <c r="A493" s="2" t="s">
        <v>468</v>
      </c>
      <c r="B493" s="2" t="s">
        <v>469</v>
      </c>
      <c r="C493" s="2" t="s">
        <v>23</v>
      </c>
      <c r="D493" s="2" t="s">
        <v>460</v>
      </c>
      <c r="E493" s="2" t="s">
        <v>20</v>
      </c>
      <c r="F493" s="2">
        <v>73</v>
      </c>
      <c r="G493" s="2">
        <v>55</v>
      </c>
      <c r="H493" s="2">
        <v>57</v>
      </c>
      <c r="I493" s="2">
        <v>67</v>
      </c>
      <c r="J493" s="2">
        <v>74</v>
      </c>
      <c r="K493" s="2">
        <v>55</v>
      </c>
      <c r="L493">
        <f t="shared" si="21"/>
        <v>381</v>
      </c>
      <c r="M493" s="4">
        <f t="shared" si="22"/>
        <v>63.5</v>
      </c>
      <c r="N493" t="str" cm="1">
        <f t="array" ref="N493">_xlfn.IFS(M493&gt;=70,"A",M493&gt;=60,"B",M493&gt;=50,"C",M493&gt;=45,"D",M493&gt;=40,"E",TRUE,"F")</f>
        <v>B</v>
      </c>
      <c r="O493">
        <f t="shared" si="23"/>
        <v>21</v>
      </c>
    </row>
    <row r="494" spans="1:15" x14ac:dyDescent="0.35">
      <c r="A494" s="2" t="s">
        <v>471</v>
      </c>
      <c r="B494" s="2" t="s">
        <v>472</v>
      </c>
      <c r="C494" s="2" t="s">
        <v>18</v>
      </c>
      <c r="D494" s="2" t="s">
        <v>460</v>
      </c>
      <c r="E494" s="2" t="s">
        <v>15</v>
      </c>
      <c r="F494" s="2">
        <v>50</v>
      </c>
      <c r="G494" s="2">
        <v>62</v>
      </c>
      <c r="H494" s="2">
        <v>61</v>
      </c>
      <c r="I494" s="2">
        <v>65</v>
      </c>
      <c r="J494" s="2">
        <v>58</v>
      </c>
      <c r="K494" s="2">
        <v>60</v>
      </c>
      <c r="L494">
        <f t="shared" si="21"/>
        <v>356</v>
      </c>
      <c r="M494" s="4">
        <f t="shared" si="22"/>
        <v>59.333333333333336</v>
      </c>
      <c r="N494" t="str" cm="1">
        <f t="array" ref="N494">_xlfn.IFS(M494&gt;=70,"A",M494&gt;=60,"B",M494&gt;=50,"C",M494&gt;=45,"D",M494&gt;=40,"E",TRUE,"F")</f>
        <v>C</v>
      </c>
      <c r="O494">
        <f t="shared" si="23"/>
        <v>19</v>
      </c>
    </row>
    <row r="495" spans="1:15" x14ac:dyDescent="0.35">
      <c r="A495" s="2" t="s">
        <v>471</v>
      </c>
      <c r="B495" s="2" t="s">
        <v>472</v>
      </c>
      <c r="C495" s="2" t="s">
        <v>18</v>
      </c>
      <c r="D495" s="2" t="s">
        <v>460</v>
      </c>
      <c r="E495" s="2" t="s">
        <v>17</v>
      </c>
      <c r="F495" s="2">
        <v>53</v>
      </c>
      <c r="G495" s="2">
        <v>81</v>
      </c>
      <c r="H495" s="2">
        <v>54</v>
      </c>
      <c r="I495" s="2">
        <v>68</v>
      </c>
      <c r="J495" s="2">
        <v>65</v>
      </c>
      <c r="K495" s="2">
        <v>68</v>
      </c>
      <c r="L495">
        <f t="shared" si="21"/>
        <v>389</v>
      </c>
      <c r="M495" s="4">
        <f t="shared" si="22"/>
        <v>64.833333333333329</v>
      </c>
      <c r="N495" t="str" cm="1">
        <f t="array" ref="N495">_xlfn.IFS(M495&gt;=70,"A",M495&gt;=60,"B",M495&gt;=50,"C",M495&gt;=45,"D",M495&gt;=40,"E",TRUE,"F")</f>
        <v>B</v>
      </c>
      <c r="O495">
        <f t="shared" si="23"/>
        <v>12</v>
      </c>
    </row>
    <row r="496" spans="1:15" x14ac:dyDescent="0.35">
      <c r="A496" s="2" t="s">
        <v>471</v>
      </c>
      <c r="B496" s="2" t="s">
        <v>472</v>
      </c>
      <c r="C496" s="2" t="s">
        <v>18</v>
      </c>
      <c r="D496" s="2" t="s">
        <v>460</v>
      </c>
      <c r="E496" s="2" t="s">
        <v>20</v>
      </c>
      <c r="F496" s="2">
        <v>65</v>
      </c>
      <c r="G496" s="2">
        <v>65</v>
      </c>
      <c r="H496" s="2">
        <v>67</v>
      </c>
      <c r="I496" s="2">
        <v>69</v>
      </c>
      <c r="J496" s="2">
        <v>78</v>
      </c>
      <c r="K496" s="2">
        <v>72</v>
      </c>
      <c r="L496">
        <f t="shared" si="21"/>
        <v>416</v>
      </c>
      <c r="M496" s="4">
        <f t="shared" si="22"/>
        <v>69.333333333333329</v>
      </c>
      <c r="N496" t="str" cm="1">
        <f t="array" ref="N496">_xlfn.IFS(M496&gt;=70,"A",M496&gt;=60,"B",M496&gt;=50,"C",M496&gt;=45,"D",M496&gt;=40,"E",TRUE,"F")</f>
        <v>B</v>
      </c>
      <c r="O496">
        <f t="shared" si="23"/>
        <v>12</v>
      </c>
    </row>
    <row r="497" spans="1:15" x14ac:dyDescent="0.35">
      <c r="A497" s="2" t="s">
        <v>474</v>
      </c>
      <c r="B497" s="2" t="s">
        <v>475</v>
      </c>
      <c r="C497" s="2" t="s">
        <v>23</v>
      </c>
      <c r="D497" s="2" t="s">
        <v>460</v>
      </c>
      <c r="E497" s="2" t="s">
        <v>15</v>
      </c>
      <c r="F497" s="2">
        <v>60</v>
      </c>
      <c r="G497" s="2">
        <v>65</v>
      </c>
      <c r="H497" s="2">
        <v>76</v>
      </c>
      <c r="I497" s="2">
        <v>81</v>
      </c>
      <c r="J497" s="2">
        <v>61</v>
      </c>
      <c r="K497" s="2">
        <v>66</v>
      </c>
      <c r="L497">
        <f t="shared" si="21"/>
        <v>409</v>
      </c>
      <c r="M497" s="4">
        <f t="shared" si="22"/>
        <v>68.166666666666671</v>
      </c>
      <c r="N497" t="str" cm="1">
        <f t="array" ref="N497">_xlfn.IFS(M497&gt;=70,"A",M497&gt;=60,"B",M497&gt;=50,"C",M497&gt;=45,"D",M497&gt;=40,"E",TRUE,"F")</f>
        <v>B</v>
      </c>
      <c r="O497">
        <f t="shared" si="23"/>
        <v>8</v>
      </c>
    </row>
    <row r="498" spans="1:15" x14ac:dyDescent="0.35">
      <c r="A498" s="2" t="s">
        <v>474</v>
      </c>
      <c r="B498" s="2" t="s">
        <v>475</v>
      </c>
      <c r="C498" s="2" t="s">
        <v>23</v>
      </c>
      <c r="D498" s="2" t="s">
        <v>460</v>
      </c>
      <c r="E498" s="2" t="s">
        <v>17</v>
      </c>
      <c r="F498" s="2">
        <v>55</v>
      </c>
      <c r="G498" s="2">
        <v>68</v>
      </c>
      <c r="H498" s="2">
        <v>68</v>
      </c>
      <c r="I498" s="2">
        <v>69</v>
      </c>
      <c r="J498" s="2">
        <v>77</v>
      </c>
      <c r="K498" s="2">
        <v>73</v>
      </c>
      <c r="L498">
        <f t="shared" si="21"/>
        <v>410</v>
      </c>
      <c r="M498" s="4">
        <f t="shared" si="22"/>
        <v>68.333333333333329</v>
      </c>
      <c r="N498" t="str" cm="1">
        <f t="array" ref="N498">_xlfn.IFS(M498&gt;=70,"A",M498&gt;=60,"B",M498&gt;=50,"C",M498&gt;=45,"D",M498&gt;=40,"E",TRUE,"F")</f>
        <v>B</v>
      </c>
      <c r="O498">
        <f t="shared" si="23"/>
        <v>11</v>
      </c>
    </row>
    <row r="499" spans="1:15" x14ac:dyDescent="0.35">
      <c r="A499" s="2" t="s">
        <v>474</v>
      </c>
      <c r="B499" s="2" t="s">
        <v>475</v>
      </c>
      <c r="C499" s="2" t="s">
        <v>23</v>
      </c>
      <c r="D499" s="2" t="s">
        <v>460</v>
      </c>
      <c r="E499" s="2" t="s">
        <v>20</v>
      </c>
      <c r="F499" s="2">
        <v>70</v>
      </c>
      <c r="G499" s="2">
        <v>64</v>
      </c>
      <c r="H499" s="2">
        <v>79</v>
      </c>
      <c r="I499" s="2">
        <v>73</v>
      </c>
      <c r="J499" s="2">
        <v>78</v>
      </c>
      <c r="K499" s="2">
        <v>87</v>
      </c>
      <c r="L499">
        <f t="shared" si="21"/>
        <v>451</v>
      </c>
      <c r="M499" s="4">
        <f t="shared" si="22"/>
        <v>75.166666666666671</v>
      </c>
      <c r="N499" t="str" cm="1">
        <f t="array" ref="N499">_xlfn.IFS(M499&gt;=70,"A",M499&gt;=60,"B",M499&gt;=50,"C",M499&gt;=45,"D",M499&gt;=40,"E",TRUE,"F")</f>
        <v>A</v>
      </c>
      <c r="O499">
        <f t="shared" si="23"/>
        <v>8</v>
      </c>
    </row>
    <row r="500" spans="1:15" x14ac:dyDescent="0.35">
      <c r="A500" s="2" t="s">
        <v>476</v>
      </c>
      <c r="B500" s="2" t="s">
        <v>478</v>
      </c>
      <c r="C500" s="2" t="s">
        <v>23</v>
      </c>
      <c r="D500" s="2" t="s">
        <v>460</v>
      </c>
      <c r="E500" s="2" t="s">
        <v>15</v>
      </c>
      <c r="F500" s="2">
        <v>32</v>
      </c>
      <c r="G500" s="2">
        <v>55</v>
      </c>
      <c r="H500" s="2">
        <v>48</v>
      </c>
      <c r="I500" s="2">
        <v>53</v>
      </c>
      <c r="J500" s="2">
        <v>42</v>
      </c>
      <c r="K500" s="2">
        <v>44</v>
      </c>
      <c r="L500">
        <f t="shared" si="21"/>
        <v>274</v>
      </c>
      <c r="M500" s="4">
        <f t="shared" si="22"/>
        <v>45.666666666666664</v>
      </c>
      <c r="N500" t="str" cm="1">
        <f t="array" ref="N500">_xlfn.IFS(M500&gt;=70,"A",M500&gt;=60,"B",M500&gt;=50,"C",M500&gt;=45,"D",M500&gt;=40,"E",TRUE,"F")</f>
        <v>D</v>
      </c>
      <c r="O500">
        <f t="shared" si="23"/>
        <v>32</v>
      </c>
    </row>
    <row r="501" spans="1:15" x14ac:dyDescent="0.35">
      <c r="A501" s="2" t="s">
        <v>476</v>
      </c>
      <c r="B501" s="2" t="s">
        <v>478</v>
      </c>
      <c r="C501" s="2" t="s">
        <v>23</v>
      </c>
      <c r="D501" s="2" t="s">
        <v>460</v>
      </c>
      <c r="E501" s="2" t="s">
        <v>17</v>
      </c>
      <c r="F501" s="2">
        <v>44</v>
      </c>
      <c r="G501" s="2">
        <v>47</v>
      </c>
      <c r="H501" s="2">
        <v>43</v>
      </c>
      <c r="I501" s="2">
        <v>52</v>
      </c>
      <c r="J501" s="2">
        <v>47</v>
      </c>
      <c r="K501" s="2">
        <v>54</v>
      </c>
      <c r="L501">
        <f t="shared" si="21"/>
        <v>287</v>
      </c>
      <c r="M501" s="4">
        <f t="shared" si="22"/>
        <v>47.833333333333336</v>
      </c>
      <c r="N501" t="str" cm="1">
        <f t="array" ref="N501">_xlfn.IFS(M501&gt;=70,"A",M501&gt;=60,"B",M501&gt;=50,"C",M501&gt;=45,"D",M501&gt;=40,"E",TRUE,"F")</f>
        <v>D</v>
      </c>
      <c r="O501">
        <f t="shared" si="23"/>
        <v>34</v>
      </c>
    </row>
    <row r="502" spans="1:15" x14ac:dyDescent="0.35">
      <c r="A502" s="2" t="s">
        <v>476</v>
      </c>
      <c r="B502" s="2" t="s">
        <v>478</v>
      </c>
      <c r="C502" s="2" t="s">
        <v>23</v>
      </c>
      <c r="D502" s="2" t="s">
        <v>460</v>
      </c>
      <c r="E502" s="2" t="s">
        <v>20</v>
      </c>
      <c r="F502" s="2">
        <v>49</v>
      </c>
      <c r="G502" s="2">
        <v>45</v>
      </c>
      <c r="H502" s="2">
        <v>43</v>
      </c>
      <c r="I502" s="2">
        <v>53</v>
      </c>
      <c r="J502" s="2">
        <v>52</v>
      </c>
      <c r="K502" s="2">
        <v>56</v>
      </c>
      <c r="L502">
        <f t="shared" si="21"/>
        <v>298</v>
      </c>
      <c r="M502" s="4">
        <f t="shared" si="22"/>
        <v>49.666666666666664</v>
      </c>
      <c r="N502" t="str" cm="1">
        <f t="array" ref="N502">_xlfn.IFS(M502&gt;=70,"A",M502&gt;=60,"B",M502&gt;=50,"C",M502&gt;=45,"D",M502&gt;=40,"E",TRUE,"F")</f>
        <v>D</v>
      </c>
      <c r="O502">
        <f t="shared" si="23"/>
        <v>34</v>
      </c>
    </row>
    <row r="503" spans="1:15" x14ac:dyDescent="0.35">
      <c r="A503" s="2" t="s">
        <v>479</v>
      </c>
      <c r="B503" s="2" t="s">
        <v>480</v>
      </c>
      <c r="C503" s="2" t="s">
        <v>18</v>
      </c>
      <c r="D503" s="2" t="s">
        <v>460</v>
      </c>
      <c r="E503" s="2" t="s">
        <v>15</v>
      </c>
      <c r="F503" s="2">
        <v>72</v>
      </c>
      <c r="G503" s="2">
        <v>65</v>
      </c>
      <c r="H503" s="2">
        <v>86</v>
      </c>
      <c r="I503" s="2">
        <v>79</v>
      </c>
      <c r="J503" s="2">
        <v>82</v>
      </c>
      <c r="K503" s="2">
        <v>75</v>
      </c>
      <c r="L503">
        <f t="shared" si="21"/>
        <v>459</v>
      </c>
      <c r="M503" s="4">
        <f t="shared" si="22"/>
        <v>76.5</v>
      </c>
      <c r="N503" t="str" cm="1">
        <f t="array" ref="N503">_xlfn.IFS(M503&gt;=70,"A",M503&gt;=60,"B",M503&gt;=50,"C",M503&gt;=45,"D",M503&gt;=40,"E",TRUE,"F")</f>
        <v>A</v>
      </c>
      <c r="O503">
        <f t="shared" si="23"/>
        <v>3</v>
      </c>
    </row>
    <row r="504" spans="1:15" x14ac:dyDescent="0.35">
      <c r="A504" s="2" t="s">
        <v>479</v>
      </c>
      <c r="B504" s="2" t="s">
        <v>480</v>
      </c>
      <c r="C504" s="2" t="s">
        <v>18</v>
      </c>
      <c r="D504" s="2" t="s">
        <v>460</v>
      </c>
      <c r="E504" s="2" t="s">
        <v>17</v>
      </c>
      <c r="F504" s="2">
        <v>69</v>
      </c>
      <c r="G504" s="2">
        <v>75</v>
      </c>
      <c r="H504" s="2">
        <v>68</v>
      </c>
      <c r="I504" s="2">
        <v>78</v>
      </c>
      <c r="J504" s="2">
        <v>70</v>
      </c>
      <c r="K504" s="2">
        <v>98</v>
      </c>
      <c r="L504">
        <f t="shared" si="21"/>
        <v>458</v>
      </c>
      <c r="M504" s="4">
        <f t="shared" si="22"/>
        <v>76.333333333333329</v>
      </c>
      <c r="N504" t="str" cm="1">
        <f t="array" ref="N504">_xlfn.IFS(M504&gt;=70,"A",M504&gt;=60,"B",M504&gt;=50,"C",M504&gt;=45,"D",M504&gt;=40,"E",TRUE,"F")</f>
        <v>A</v>
      </c>
      <c r="O504">
        <f t="shared" si="23"/>
        <v>4</v>
      </c>
    </row>
    <row r="505" spans="1:15" x14ac:dyDescent="0.35">
      <c r="A505" s="2" t="s">
        <v>479</v>
      </c>
      <c r="B505" s="2" t="s">
        <v>480</v>
      </c>
      <c r="C505" s="2" t="s">
        <v>18</v>
      </c>
      <c r="D505" s="2" t="s">
        <v>460</v>
      </c>
      <c r="E505" s="2" t="s">
        <v>20</v>
      </c>
      <c r="F505" s="2">
        <v>72</v>
      </c>
      <c r="G505" s="2">
        <v>80</v>
      </c>
      <c r="H505" s="2">
        <v>77</v>
      </c>
      <c r="I505" s="2">
        <v>74</v>
      </c>
      <c r="J505" s="2">
        <v>81</v>
      </c>
      <c r="K505" s="2">
        <v>64</v>
      </c>
      <c r="L505">
        <f t="shared" si="21"/>
        <v>448</v>
      </c>
      <c r="M505" s="4">
        <f t="shared" si="22"/>
        <v>74.666666666666671</v>
      </c>
      <c r="N505" t="str" cm="1">
        <f t="array" ref="N505">_xlfn.IFS(M505&gt;=70,"A",M505&gt;=60,"B",M505&gt;=50,"C",M505&gt;=45,"D",M505&gt;=40,"E",TRUE,"F")</f>
        <v>A</v>
      </c>
      <c r="O505">
        <f t="shared" si="23"/>
        <v>9</v>
      </c>
    </row>
    <row r="506" spans="1:15" x14ac:dyDescent="0.35">
      <c r="A506" s="2" t="s">
        <v>482</v>
      </c>
      <c r="B506" s="2" t="s">
        <v>483</v>
      </c>
      <c r="C506" s="2" t="s">
        <v>18</v>
      </c>
      <c r="D506" s="2" t="s">
        <v>460</v>
      </c>
      <c r="E506" s="2" t="s">
        <v>15</v>
      </c>
      <c r="F506" s="2">
        <v>22</v>
      </c>
      <c r="G506" s="2">
        <v>39</v>
      </c>
      <c r="H506" s="2">
        <v>31</v>
      </c>
      <c r="I506" s="2">
        <v>23</v>
      </c>
      <c r="J506" s="2">
        <v>29</v>
      </c>
      <c r="K506" s="2">
        <v>47</v>
      </c>
      <c r="L506">
        <f t="shared" si="21"/>
        <v>191</v>
      </c>
      <c r="M506" s="4">
        <f t="shared" si="22"/>
        <v>31.833333333333332</v>
      </c>
      <c r="N506" t="str" cm="1">
        <f t="array" ref="N506">_xlfn.IFS(M506&gt;=70,"A",M506&gt;=60,"B",M506&gt;=50,"C",M506&gt;=45,"D",M506&gt;=40,"E",TRUE,"F")</f>
        <v>F</v>
      </c>
      <c r="O506">
        <f t="shared" si="23"/>
        <v>39</v>
      </c>
    </row>
    <row r="507" spans="1:15" x14ac:dyDescent="0.35">
      <c r="A507" s="2" t="s">
        <v>482</v>
      </c>
      <c r="B507" s="2" t="s">
        <v>483</v>
      </c>
      <c r="C507" s="2" t="s">
        <v>18</v>
      </c>
      <c r="D507" s="2" t="s">
        <v>460</v>
      </c>
      <c r="E507" s="2" t="s">
        <v>17</v>
      </c>
      <c r="F507" s="2">
        <v>12</v>
      </c>
      <c r="G507" s="2">
        <v>31</v>
      </c>
      <c r="H507" s="2">
        <v>16</v>
      </c>
      <c r="I507" s="2">
        <v>40</v>
      </c>
      <c r="J507" s="2">
        <v>38</v>
      </c>
      <c r="K507" s="2">
        <v>43</v>
      </c>
      <c r="L507">
        <f t="shared" si="21"/>
        <v>180</v>
      </c>
      <c r="M507" s="4">
        <f t="shared" si="22"/>
        <v>30</v>
      </c>
      <c r="N507" t="str" cm="1">
        <f t="array" ref="N507">_xlfn.IFS(M507&gt;=70,"A",M507&gt;=60,"B",M507&gt;=50,"C",M507&gt;=45,"D",M507&gt;=40,"E",TRUE,"F")</f>
        <v>F</v>
      </c>
      <c r="O507">
        <f t="shared" si="23"/>
        <v>39</v>
      </c>
    </row>
    <row r="508" spans="1:15" x14ac:dyDescent="0.35">
      <c r="A508" s="2" t="s">
        <v>482</v>
      </c>
      <c r="B508" s="2" t="s">
        <v>483</v>
      </c>
      <c r="C508" s="2" t="s">
        <v>18</v>
      </c>
      <c r="D508" s="2" t="s">
        <v>460</v>
      </c>
      <c r="E508" s="2" t="s">
        <v>20</v>
      </c>
      <c r="F508" s="2">
        <v>17</v>
      </c>
      <c r="G508" s="2">
        <v>28</v>
      </c>
      <c r="H508" s="2">
        <v>25</v>
      </c>
      <c r="I508" s="2">
        <v>20</v>
      </c>
      <c r="J508" s="2">
        <v>30</v>
      </c>
      <c r="K508" s="2">
        <v>27</v>
      </c>
      <c r="L508">
        <f t="shared" si="21"/>
        <v>147</v>
      </c>
      <c r="M508" s="4">
        <f t="shared" si="22"/>
        <v>24.5</v>
      </c>
      <c r="N508" t="str" cm="1">
        <f t="array" ref="N508">_xlfn.IFS(M508&gt;=70,"A",M508&gt;=60,"B",M508&gt;=50,"C",M508&gt;=45,"D",M508&gt;=40,"E",TRUE,"F")</f>
        <v>F</v>
      </c>
      <c r="O508">
        <f t="shared" si="23"/>
        <v>39</v>
      </c>
    </row>
    <row r="509" spans="1:15" x14ac:dyDescent="0.35">
      <c r="A509" s="2" t="s">
        <v>485</v>
      </c>
      <c r="B509" s="2" t="s">
        <v>486</v>
      </c>
      <c r="C509" s="2" t="s">
        <v>23</v>
      </c>
      <c r="D509" s="2" t="s">
        <v>460</v>
      </c>
      <c r="E509" s="2" t="s">
        <v>15</v>
      </c>
      <c r="F509" s="2">
        <v>15</v>
      </c>
      <c r="G509" s="2">
        <v>22</v>
      </c>
      <c r="H509" s="2">
        <v>36</v>
      </c>
      <c r="I509" s="2">
        <v>39</v>
      </c>
      <c r="J509" s="2">
        <v>31</v>
      </c>
      <c r="K509" s="2">
        <v>21</v>
      </c>
      <c r="L509">
        <f t="shared" si="21"/>
        <v>164</v>
      </c>
      <c r="M509" s="4">
        <f t="shared" si="22"/>
        <v>27.333333333333332</v>
      </c>
      <c r="N509" t="str" cm="1">
        <f t="array" ref="N509">_xlfn.IFS(M509&gt;=70,"A",M509&gt;=60,"B",M509&gt;=50,"C",M509&gt;=45,"D",M509&gt;=40,"E",TRUE,"F")</f>
        <v>F</v>
      </c>
      <c r="O509">
        <f t="shared" si="23"/>
        <v>40</v>
      </c>
    </row>
    <row r="510" spans="1:15" x14ac:dyDescent="0.35">
      <c r="A510" s="2" t="s">
        <v>485</v>
      </c>
      <c r="B510" s="2" t="s">
        <v>486</v>
      </c>
      <c r="C510" s="2" t="s">
        <v>23</v>
      </c>
      <c r="D510" s="2" t="s">
        <v>460</v>
      </c>
      <c r="E510" s="2" t="s">
        <v>17</v>
      </c>
      <c r="F510" s="2">
        <v>23</v>
      </c>
      <c r="G510" s="2">
        <v>33</v>
      </c>
      <c r="H510" s="2">
        <v>27</v>
      </c>
      <c r="I510" s="2">
        <v>26</v>
      </c>
      <c r="J510" s="2">
        <v>18</v>
      </c>
      <c r="K510" s="2">
        <v>30</v>
      </c>
      <c r="L510">
        <f t="shared" si="21"/>
        <v>157</v>
      </c>
      <c r="M510" s="4">
        <f t="shared" si="22"/>
        <v>26.166666666666668</v>
      </c>
      <c r="N510" t="str" cm="1">
        <f t="array" ref="N510">_xlfn.IFS(M510&gt;=70,"A",M510&gt;=60,"B",M510&gt;=50,"C",M510&gt;=45,"D",M510&gt;=40,"E",TRUE,"F")</f>
        <v>F</v>
      </c>
      <c r="O510">
        <f t="shared" si="23"/>
        <v>40</v>
      </c>
    </row>
    <row r="511" spans="1:15" x14ac:dyDescent="0.35">
      <c r="A511" s="2" t="s">
        <v>485</v>
      </c>
      <c r="B511" s="2" t="s">
        <v>486</v>
      </c>
      <c r="C511" s="2" t="s">
        <v>23</v>
      </c>
      <c r="D511" s="2" t="s">
        <v>460</v>
      </c>
      <c r="E511" s="2" t="s">
        <v>20</v>
      </c>
      <c r="F511" s="2">
        <v>12</v>
      </c>
      <c r="G511" s="2">
        <v>13</v>
      </c>
      <c r="H511" s="2">
        <v>16</v>
      </c>
      <c r="I511" s="2">
        <v>18</v>
      </c>
      <c r="J511" s="2">
        <v>24</v>
      </c>
      <c r="K511" s="2">
        <v>32</v>
      </c>
      <c r="L511">
        <f t="shared" si="21"/>
        <v>115</v>
      </c>
      <c r="M511" s="4">
        <f t="shared" si="22"/>
        <v>19.166666666666668</v>
      </c>
      <c r="N511" t="str" cm="1">
        <f t="array" ref="N511">_xlfn.IFS(M511&gt;=70,"A",M511&gt;=60,"B",M511&gt;=50,"C",M511&gt;=45,"D",M511&gt;=40,"E",TRUE,"F")</f>
        <v>F</v>
      </c>
      <c r="O511">
        <f t="shared" si="23"/>
        <v>40</v>
      </c>
    </row>
    <row r="512" spans="1:15" x14ac:dyDescent="0.35">
      <c r="A512" s="2" t="s">
        <v>487</v>
      </c>
      <c r="B512" s="2" t="s">
        <v>488</v>
      </c>
      <c r="C512" s="2" t="s">
        <v>18</v>
      </c>
      <c r="D512" s="2" t="s">
        <v>460</v>
      </c>
      <c r="E512" s="2" t="s">
        <v>15</v>
      </c>
      <c r="F512" s="2">
        <v>38</v>
      </c>
      <c r="G512" s="2">
        <v>57</v>
      </c>
      <c r="H512" s="2">
        <v>56</v>
      </c>
      <c r="I512" s="2">
        <v>56</v>
      </c>
      <c r="J512" s="2">
        <v>45</v>
      </c>
      <c r="K512" s="2">
        <v>55</v>
      </c>
      <c r="L512">
        <f t="shared" si="21"/>
        <v>307</v>
      </c>
      <c r="M512" s="4">
        <f t="shared" si="22"/>
        <v>51.166666666666664</v>
      </c>
      <c r="N512" t="str" cm="1">
        <f t="array" ref="N512">_xlfn.IFS(M512&gt;=70,"A",M512&gt;=60,"B",M512&gt;=50,"C",M512&gt;=45,"D",M512&gt;=40,"E",TRUE,"F")</f>
        <v>C</v>
      </c>
      <c r="O512">
        <f t="shared" si="23"/>
        <v>30</v>
      </c>
    </row>
    <row r="513" spans="1:15" x14ac:dyDescent="0.35">
      <c r="A513" s="2" t="s">
        <v>487</v>
      </c>
      <c r="B513" s="2" t="s">
        <v>488</v>
      </c>
      <c r="C513" s="2" t="s">
        <v>18</v>
      </c>
      <c r="D513" s="2" t="s">
        <v>460</v>
      </c>
      <c r="E513" s="2" t="s">
        <v>17</v>
      </c>
      <c r="F513" s="2">
        <v>71</v>
      </c>
      <c r="G513" s="2">
        <v>66</v>
      </c>
      <c r="H513" s="2">
        <v>51</v>
      </c>
      <c r="I513" s="2">
        <v>62</v>
      </c>
      <c r="J513" s="2">
        <v>62</v>
      </c>
      <c r="K513" s="2">
        <v>68</v>
      </c>
      <c r="L513">
        <f t="shared" si="21"/>
        <v>380</v>
      </c>
      <c r="M513" s="4">
        <f t="shared" si="22"/>
        <v>63.333333333333336</v>
      </c>
      <c r="N513" t="str" cm="1">
        <f t="array" ref="N513">_xlfn.IFS(M513&gt;=70,"A",M513&gt;=60,"B",M513&gt;=50,"C",M513&gt;=45,"D",M513&gt;=40,"E",TRUE,"F")</f>
        <v>B</v>
      </c>
      <c r="O513">
        <f t="shared" si="23"/>
        <v>13</v>
      </c>
    </row>
    <row r="514" spans="1:15" x14ac:dyDescent="0.35">
      <c r="A514" s="2" t="s">
        <v>487</v>
      </c>
      <c r="B514" s="2" t="s">
        <v>488</v>
      </c>
      <c r="C514" s="2" t="s">
        <v>18</v>
      </c>
      <c r="D514" s="2" t="s">
        <v>460</v>
      </c>
      <c r="E514" s="2" t="s">
        <v>20</v>
      </c>
      <c r="F514" s="2">
        <v>64</v>
      </c>
      <c r="G514" s="2">
        <v>74</v>
      </c>
      <c r="H514" s="2">
        <v>67</v>
      </c>
      <c r="I514" s="2">
        <v>65</v>
      </c>
      <c r="J514" s="2">
        <v>78</v>
      </c>
      <c r="K514" s="2">
        <v>68</v>
      </c>
      <c r="L514">
        <f t="shared" ref="L514:L577" si="24">SUM(F514:K514)</f>
        <v>416</v>
      </c>
      <c r="M514" s="4">
        <f t="shared" ref="M514:M577" si="25">AVERAGE(F514:K514)</f>
        <v>69.333333333333329</v>
      </c>
      <c r="N514" t="str" cm="1">
        <f t="array" ref="N514">_xlfn.IFS(M514&gt;=70,"A",M514&gt;=60,"B",M514&gt;=50,"C",M514&gt;=45,"D",M514&gt;=40,"E",TRUE,"F")</f>
        <v>B</v>
      </c>
      <c r="O514">
        <f t="shared" ref="O514:O577" si="26">COUNTIFS($D$2:$D$721,D514,$E$2:$E$721,E514,$M$2:$M$721,"&gt;"&amp;M514)+1</f>
        <v>12</v>
      </c>
    </row>
    <row r="515" spans="1:15" x14ac:dyDescent="0.35">
      <c r="A515" s="2" t="s">
        <v>489</v>
      </c>
      <c r="B515" s="2" t="s">
        <v>490</v>
      </c>
      <c r="C515" s="2" t="s">
        <v>18</v>
      </c>
      <c r="D515" s="2" t="s">
        <v>460</v>
      </c>
      <c r="E515" s="2" t="s">
        <v>15</v>
      </c>
      <c r="F515" s="2">
        <v>52</v>
      </c>
      <c r="G515" s="2">
        <v>67</v>
      </c>
      <c r="H515" s="2">
        <v>54</v>
      </c>
      <c r="I515" s="2">
        <v>46</v>
      </c>
      <c r="J515" s="2">
        <v>63</v>
      </c>
      <c r="K515" s="2">
        <v>63</v>
      </c>
      <c r="L515">
        <f t="shared" si="24"/>
        <v>345</v>
      </c>
      <c r="M515" s="4">
        <f t="shared" si="25"/>
        <v>57.5</v>
      </c>
      <c r="N515" t="str" cm="1">
        <f t="array" ref="N515">_xlfn.IFS(M515&gt;=70,"A",M515&gt;=60,"B",M515&gt;=50,"C",M515&gt;=45,"D",M515&gt;=40,"E",TRUE,"F")</f>
        <v>C</v>
      </c>
      <c r="O515">
        <f t="shared" si="26"/>
        <v>23</v>
      </c>
    </row>
    <row r="516" spans="1:15" x14ac:dyDescent="0.35">
      <c r="A516" s="2" t="s">
        <v>489</v>
      </c>
      <c r="B516" s="2" t="s">
        <v>490</v>
      </c>
      <c r="C516" s="2" t="s">
        <v>18</v>
      </c>
      <c r="D516" s="2" t="s">
        <v>460</v>
      </c>
      <c r="E516" s="2" t="s">
        <v>17</v>
      </c>
      <c r="F516" s="2">
        <v>44</v>
      </c>
      <c r="G516" s="2">
        <v>62</v>
      </c>
      <c r="H516" s="2">
        <v>56</v>
      </c>
      <c r="I516" s="2">
        <v>53</v>
      </c>
      <c r="J516" s="2">
        <v>63</v>
      </c>
      <c r="K516" s="2">
        <v>63</v>
      </c>
      <c r="L516">
        <f t="shared" si="24"/>
        <v>341</v>
      </c>
      <c r="M516" s="4">
        <f t="shared" si="25"/>
        <v>56.833333333333336</v>
      </c>
      <c r="N516" t="str" cm="1">
        <f t="array" ref="N516">_xlfn.IFS(M516&gt;=70,"A",M516&gt;=60,"B",M516&gt;=50,"C",M516&gt;=45,"D",M516&gt;=40,"E",TRUE,"F")</f>
        <v>C</v>
      </c>
      <c r="O516">
        <f t="shared" si="26"/>
        <v>26</v>
      </c>
    </row>
    <row r="517" spans="1:15" x14ac:dyDescent="0.35">
      <c r="A517" s="2" t="s">
        <v>489</v>
      </c>
      <c r="B517" s="2" t="s">
        <v>490</v>
      </c>
      <c r="C517" s="2" t="s">
        <v>18</v>
      </c>
      <c r="D517" s="2" t="s">
        <v>460</v>
      </c>
      <c r="E517" s="2" t="s">
        <v>20</v>
      </c>
      <c r="F517" s="2">
        <v>42</v>
      </c>
      <c r="G517" s="2">
        <v>62</v>
      </c>
      <c r="H517" s="2">
        <v>48</v>
      </c>
      <c r="I517" s="2">
        <v>67</v>
      </c>
      <c r="J517" s="2">
        <v>55</v>
      </c>
      <c r="K517" s="2">
        <v>70</v>
      </c>
      <c r="L517">
        <f t="shared" si="24"/>
        <v>344</v>
      </c>
      <c r="M517" s="4">
        <f t="shared" si="25"/>
        <v>57.333333333333336</v>
      </c>
      <c r="N517" t="str" cm="1">
        <f t="array" ref="N517">_xlfn.IFS(M517&gt;=70,"A",M517&gt;=60,"B",M517&gt;=50,"C",M517&gt;=45,"D",M517&gt;=40,"E",TRUE,"F")</f>
        <v>C</v>
      </c>
      <c r="O517">
        <f t="shared" si="26"/>
        <v>29</v>
      </c>
    </row>
    <row r="518" spans="1:15" x14ac:dyDescent="0.35">
      <c r="A518" s="2" t="s">
        <v>493</v>
      </c>
      <c r="B518" s="2" t="s">
        <v>494</v>
      </c>
      <c r="C518" s="2" t="s">
        <v>23</v>
      </c>
      <c r="D518" s="2" t="s">
        <v>460</v>
      </c>
      <c r="E518" s="2" t="s">
        <v>15</v>
      </c>
      <c r="F518" s="2">
        <v>53</v>
      </c>
      <c r="G518" s="2">
        <v>48</v>
      </c>
      <c r="H518" s="2">
        <v>60</v>
      </c>
      <c r="I518" s="2">
        <v>69</v>
      </c>
      <c r="J518" s="2">
        <v>52</v>
      </c>
      <c r="K518" s="2">
        <v>58</v>
      </c>
      <c r="L518">
        <f t="shared" si="24"/>
        <v>340</v>
      </c>
      <c r="M518" s="4">
        <f t="shared" si="25"/>
        <v>56.666666666666664</v>
      </c>
      <c r="N518" t="str" cm="1">
        <f t="array" ref="N518">_xlfn.IFS(M518&gt;=70,"A",M518&gt;=60,"B",M518&gt;=50,"C",M518&gt;=45,"D",M518&gt;=40,"E",TRUE,"F")</f>
        <v>C</v>
      </c>
      <c r="O518">
        <f t="shared" si="26"/>
        <v>24</v>
      </c>
    </row>
    <row r="519" spans="1:15" x14ac:dyDescent="0.35">
      <c r="A519" s="2" t="s">
        <v>493</v>
      </c>
      <c r="B519" s="2" t="s">
        <v>494</v>
      </c>
      <c r="C519" s="2" t="s">
        <v>23</v>
      </c>
      <c r="D519" s="2" t="s">
        <v>460</v>
      </c>
      <c r="E519" s="2" t="s">
        <v>17</v>
      </c>
      <c r="F519" s="2">
        <v>47</v>
      </c>
      <c r="G519" s="2">
        <v>58</v>
      </c>
      <c r="H519" s="2">
        <v>68</v>
      </c>
      <c r="I519" s="2">
        <v>63</v>
      </c>
      <c r="J519" s="2">
        <v>74</v>
      </c>
      <c r="K519" s="2">
        <v>65</v>
      </c>
      <c r="L519">
        <f t="shared" si="24"/>
        <v>375</v>
      </c>
      <c r="M519" s="4">
        <f t="shared" si="25"/>
        <v>62.5</v>
      </c>
      <c r="N519" t="str" cm="1">
        <f t="array" ref="N519">_xlfn.IFS(M519&gt;=70,"A",M519&gt;=60,"B",M519&gt;=50,"C",M519&gt;=45,"D",M519&gt;=40,"E",TRUE,"F")</f>
        <v>B</v>
      </c>
      <c r="O519">
        <f t="shared" si="26"/>
        <v>17</v>
      </c>
    </row>
    <row r="520" spans="1:15" x14ac:dyDescent="0.35">
      <c r="A520" s="2" t="s">
        <v>493</v>
      </c>
      <c r="B520" s="2" t="s">
        <v>494</v>
      </c>
      <c r="C520" s="2" t="s">
        <v>23</v>
      </c>
      <c r="D520" s="2" t="s">
        <v>460</v>
      </c>
      <c r="E520" s="2" t="s">
        <v>20</v>
      </c>
      <c r="F520" s="2">
        <v>65</v>
      </c>
      <c r="G520" s="2">
        <v>58</v>
      </c>
      <c r="H520" s="2">
        <v>57</v>
      </c>
      <c r="I520" s="2">
        <v>53</v>
      </c>
      <c r="J520" s="2">
        <v>72</v>
      </c>
      <c r="K520" s="2">
        <v>67</v>
      </c>
      <c r="L520">
        <f t="shared" si="24"/>
        <v>372</v>
      </c>
      <c r="M520" s="4">
        <f t="shared" si="25"/>
        <v>62</v>
      </c>
      <c r="N520" t="str" cm="1">
        <f t="array" ref="N520">_xlfn.IFS(M520&gt;=70,"A",M520&gt;=60,"B",M520&gt;=50,"C",M520&gt;=45,"D",M520&gt;=40,"E",TRUE,"F")</f>
        <v>B</v>
      </c>
      <c r="O520">
        <f t="shared" si="26"/>
        <v>24</v>
      </c>
    </row>
    <row r="521" spans="1:15" x14ac:dyDescent="0.35">
      <c r="A521" s="2" t="s">
        <v>496</v>
      </c>
      <c r="B521" s="2" t="s">
        <v>497</v>
      </c>
      <c r="C521" s="2" t="s">
        <v>23</v>
      </c>
      <c r="D521" s="2" t="s">
        <v>460</v>
      </c>
      <c r="E521" s="2" t="s">
        <v>15</v>
      </c>
      <c r="F521" s="2">
        <v>48</v>
      </c>
      <c r="G521" s="2">
        <v>50</v>
      </c>
      <c r="H521" s="2">
        <v>59</v>
      </c>
      <c r="I521" s="2">
        <v>63</v>
      </c>
      <c r="J521" s="2"/>
      <c r="K521" s="2">
        <v>73</v>
      </c>
      <c r="L521">
        <f t="shared" si="24"/>
        <v>293</v>
      </c>
      <c r="M521" s="4">
        <f t="shared" si="25"/>
        <v>58.6</v>
      </c>
      <c r="N521" t="str" cm="1">
        <f t="array" ref="N521">_xlfn.IFS(M521&gt;=70,"A",M521&gt;=60,"B",M521&gt;=50,"C",M521&gt;=45,"D",M521&gt;=40,"E",TRUE,"F")</f>
        <v>C</v>
      </c>
      <c r="O521">
        <f t="shared" si="26"/>
        <v>22</v>
      </c>
    </row>
    <row r="522" spans="1:15" x14ac:dyDescent="0.35">
      <c r="A522" s="2" t="s">
        <v>496</v>
      </c>
      <c r="B522" s="2" t="s">
        <v>497</v>
      </c>
      <c r="C522" s="2" t="s">
        <v>23</v>
      </c>
      <c r="D522" s="2" t="s">
        <v>460</v>
      </c>
      <c r="E522" s="2" t="s">
        <v>17</v>
      </c>
      <c r="F522" s="2">
        <v>53</v>
      </c>
      <c r="G522" s="2">
        <v>57</v>
      </c>
      <c r="H522" s="2">
        <v>70</v>
      </c>
      <c r="I522" s="2">
        <v>61</v>
      </c>
      <c r="J522" s="2">
        <v>62</v>
      </c>
      <c r="K522" s="2">
        <v>63</v>
      </c>
      <c r="L522">
        <f t="shared" si="24"/>
        <v>366</v>
      </c>
      <c r="M522" s="4">
        <f t="shared" si="25"/>
        <v>61</v>
      </c>
      <c r="N522" t="str" cm="1">
        <f t="array" ref="N522">_xlfn.IFS(M522&gt;=70,"A",M522&gt;=60,"B",M522&gt;=50,"C",M522&gt;=45,"D",M522&gt;=40,"E",TRUE,"F")</f>
        <v>B</v>
      </c>
      <c r="O522">
        <f t="shared" si="26"/>
        <v>19</v>
      </c>
    </row>
    <row r="523" spans="1:15" x14ac:dyDescent="0.35">
      <c r="A523" s="2" t="s">
        <v>496</v>
      </c>
      <c r="B523" s="2" t="s">
        <v>497</v>
      </c>
      <c r="C523" s="2" t="s">
        <v>23</v>
      </c>
      <c r="D523" s="2" t="s">
        <v>460</v>
      </c>
      <c r="E523" s="2" t="s">
        <v>20</v>
      </c>
      <c r="F523" s="2">
        <v>70</v>
      </c>
      <c r="G523" s="2">
        <v>76</v>
      </c>
      <c r="H523" s="2">
        <v>66</v>
      </c>
      <c r="I523" s="2">
        <v>62</v>
      </c>
      <c r="J523" s="2">
        <v>60</v>
      </c>
      <c r="K523" s="2">
        <v>70</v>
      </c>
      <c r="L523">
        <f t="shared" si="24"/>
        <v>404</v>
      </c>
      <c r="M523" s="4">
        <f t="shared" si="25"/>
        <v>67.333333333333329</v>
      </c>
      <c r="N523" t="str" cm="1">
        <f t="array" ref="N523">_xlfn.IFS(M523&gt;=70,"A",M523&gt;=60,"B",M523&gt;=50,"C",M523&gt;=45,"D",M523&gt;=40,"E",TRUE,"F")</f>
        <v>B</v>
      </c>
      <c r="O523">
        <f t="shared" si="26"/>
        <v>16</v>
      </c>
    </row>
    <row r="524" spans="1:15" x14ac:dyDescent="0.35">
      <c r="A524" s="2" t="s">
        <v>499</v>
      </c>
      <c r="B524" s="2" t="s">
        <v>500</v>
      </c>
      <c r="C524" s="2" t="s">
        <v>18</v>
      </c>
      <c r="D524" s="2" t="s">
        <v>460</v>
      </c>
      <c r="E524" s="2" t="s">
        <v>15</v>
      </c>
      <c r="F524" s="2">
        <v>60</v>
      </c>
      <c r="G524" s="2">
        <v>54</v>
      </c>
      <c r="H524" s="2">
        <v>72</v>
      </c>
      <c r="I524" s="2">
        <v>65</v>
      </c>
      <c r="J524" s="2">
        <v>74</v>
      </c>
      <c r="K524" s="2">
        <v>71</v>
      </c>
      <c r="L524">
        <f t="shared" si="24"/>
        <v>396</v>
      </c>
      <c r="M524" s="4">
        <f t="shared" si="25"/>
        <v>66</v>
      </c>
      <c r="N524" t="str" cm="1">
        <f t="array" ref="N524">_xlfn.IFS(M524&gt;=70,"A",M524&gt;=60,"B",M524&gt;=50,"C",M524&gt;=45,"D",M524&gt;=40,"E",TRUE,"F")</f>
        <v>B</v>
      </c>
      <c r="O524">
        <f t="shared" si="26"/>
        <v>11</v>
      </c>
    </row>
    <row r="525" spans="1:15" x14ac:dyDescent="0.35">
      <c r="A525" s="2" t="s">
        <v>499</v>
      </c>
      <c r="B525" s="2" t="s">
        <v>500</v>
      </c>
      <c r="C525" s="2" t="s">
        <v>18</v>
      </c>
      <c r="D525" s="2" t="s">
        <v>460</v>
      </c>
      <c r="E525" s="2" t="s">
        <v>17</v>
      </c>
      <c r="F525" s="2">
        <v>57</v>
      </c>
      <c r="G525" s="2">
        <v>54</v>
      </c>
      <c r="H525" s="2">
        <v>55</v>
      </c>
      <c r="I525" s="2">
        <v>62</v>
      </c>
      <c r="J525" s="2">
        <v>67</v>
      </c>
      <c r="K525" s="2">
        <v>72</v>
      </c>
      <c r="L525">
        <f t="shared" si="24"/>
        <v>367</v>
      </c>
      <c r="M525" s="4">
        <f t="shared" si="25"/>
        <v>61.166666666666664</v>
      </c>
      <c r="N525" t="str" cm="1">
        <f t="array" ref="N525">_xlfn.IFS(M525&gt;=70,"A",M525&gt;=60,"B",M525&gt;=50,"C",M525&gt;=45,"D",M525&gt;=40,"E",TRUE,"F")</f>
        <v>B</v>
      </c>
      <c r="O525">
        <f t="shared" si="26"/>
        <v>18</v>
      </c>
    </row>
    <row r="526" spans="1:15" x14ac:dyDescent="0.35">
      <c r="A526" s="2" t="s">
        <v>499</v>
      </c>
      <c r="B526" s="2" t="s">
        <v>500</v>
      </c>
      <c r="C526" s="2" t="s">
        <v>18</v>
      </c>
      <c r="D526" s="2" t="s">
        <v>460</v>
      </c>
      <c r="E526" s="2" t="s">
        <v>20</v>
      </c>
      <c r="F526" s="2">
        <v>53</v>
      </c>
      <c r="G526" s="2">
        <v>56</v>
      </c>
      <c r="H526" s="2">
        <v>67</v>
      </c>
      <c r="I526" s="2">
        <v>64</v>
      </c>
      <c r="J526" s="2">
        <v>69</v>
      </c>
      <c r="K526" s="2">
        <v>70</v>
      </c>
      <c r="L526">
        <f t="shared" si="24"/>
        <v>379</v>
      </c>
      <c r="M526" s="4">
        <f t="shared" si="25"/>
        <v>63.166666666666664</v>
      </c>
      <c r="N526" t="str" cm="1">
        <f t="array" ref="N526">_xlfn.IFS(M526&gt;=70,"A",M526&gt;=60,"B",M526&gt;=50,"C",M526&gt;=45,"D",M526&gt;=40,"E",TRUE,"F")</f>
        <v>B</v>
      </c>
      <c r="O526">
        <f t="shared" si="26"/>
        <v>22</v>
      </c>
    </row>
    <row r="527" spans="1:15" x14ac:dyDescent="0.35">
      <c r="A527" s="2" t="s">
        <v>501</v>
      </c>
      <c r="B527" s="2" t="s">
        <v>502</v>
      </c>
      <c r="C527" s="2" t="s">
        <v>18</v>
      </c>
      <c r="D527" s="2" t="s">
        <v>460</v>
      </c>
      <c r="E527" s="2" t="s">
        <v>20</v>
      </c>
      <c r="F527" s="2">
        <v>65</v>
      </c>
      <c r="G527" s="2">
        <v>78</v>
      </c>
      <c r="H527" s="2">
        <v>83</v>
      </c>
      <c r="I527" s="2">
        <v>87</v>
      </c>
      <c r="J527" s="2">
        <v>89</v>
      </c>
      <c r="K527" s="2">
        <v>88</v>
      </c>
      <c r="L527">
        <f t="shared" si="24"/>
        <v>490</v>
      </c>
      <c r="M527" s="4">
        <f t="shared" si="25"/>
        <v>81.666666666666671</v>
      </c>
      <c r="N527" t="str" cm="1">
        <f t="array" ref="N527">_xlfn.IFS(M527&gt;=70,"A",M527&gt;=60,"B",M527&gt;=50,"C",M527&gt;=45,"D",M527&gt;=40,"E",TRUE,"F")</f>
        <v>A</v>
      </c>
      <c r="O527">
        <f t="shared" si="26"/>
        <v>4</v>
      </c>
    </row>
    <row r="528" spans="1:15" x14ac:dyDescent="0.35">
      <c r="A528" s="2" t="s">
        <v>501</v>
      </c>
      <c r="B528" s="2" t="s">
        <v>502</v>
      </c>
      <c r="C528" s="2" t="s">
        <v>18</v>
      </c>
      <c r="D528" s="2" t="s">
        <v>460</v>
      </c>
      <c r="E528" s="2" t="s">
        <v>15</v>
      </c>
      <c r="F528" s="2">
        <v>60</v>
      </c>
      <c r="G528" s="2">
        <v>68</v>
      </c>
      <c r="H528" s="2">
        <v>76</v>
      </c>
      <c r="I528" s="2">
        <v>89</v>
      </c>
      <c r="J528" s="2">
        <v>79</v>
      </c>
      <c r="K528" s="2">
        <v>73</v>
      </c>
      <c r="L528">
        <f t="shared" si="24"/>
        <v>445</v>
      </c>
      <c r="M528" s="4">
        <f t="shared" si="25"/>
        <v>74.166666666666671</v>
      </c>
      <c r="N528" t="str" cm="1">
        <f t="array" ref="N528">_xlfn.IFS(M528&gt;=70,"A",M528&gt;=60,"B",M528&gt;=50,"C",M528&gt;=45,"D",M528&gt;=40,"E",TRUE,"F")</f>
        <v>A</v>
      </c>
      <c r="O528">
        <f t="shared" si="26"/>
        <v>6</v>
      </c>
    </row>
    <row r="529" spans="1:15" x14ac:dyDescent="0.35">
      <c r="A529" s="2" t="s">
        <v>501</v>
      </c>
      <c r="B529" s="2" t="s">
        <v>502</v>
      </c>
      <c r="C529" s="2" t="s">
        <v>18</v>
      </c>
      <c r="D529" s="2" t="s">
        <v>460</v>
      </c>
      <c r="E529" s="2" t="s">
        <v>17</v>
      </c>
      <c r="F529" s="2">
        <v>80</v>
      </c>
      <c r="G529" s="2">
        <v>66</v>
      </c>
      <c r="H529" s="2">
        <v>69</v>
      </c>
      <c r="I529" s="2">
        <v>89</v>
      </c>
      <c r="J529" s="2">
        <v>78</v>
      </c>
      <c r="K529" s="2">
        <v>94</v>
      </c>
      <c r="L529">
        <f t="shared" si="24"/>
        <v>476</v>
      </c>
      <c r="M529" s="4">
        <f t="shared" si="25"/>
        <v>79.333333333333329</v>
      </c>
      <c r="N529" t="str" cm="1">
        <f t="array" ref="N529">_xlfn.IFS(M529&gt;=70,"A",M529&gt;=60,"B",M529&gt;=50,"C",M529&gt;=45,"D",M529&gt;=40,"E",TRUE,"F")</f>
        <v>A</v>
      </c>
      <c r="O529">
        <f t="shared" si="26"/>
        <v>3</v>
      </c>
    </row>
    <row r="530" spans="1:15" x14ac:dyDescent="0.35">
      <c r="A530" s="2" t="s">
        <v>503</v>
      </c>
      <c r="B530" s="2" t="s">
        <v>504</v>
      </c>
      <c r="C530" s="2" t="s">
        <v>23</v>
      </c>
      <c r="D530" s="2" t="s">
        <v>460</v>
      </c>
      <c r="E530" s="2" t="s">
        <v>20</v>
      </c>
      <c r="F530" s="2">
        <v>66</v>
      </c>
      <c r="G530" s="2">
        <v>68</v>
      </c>
      <c r="H530" s="2">
        <v>68</v>
      </c>
      <c r="I530" s="2">
        <v>69</v>
      </c>
      <c r="J530" s="2">
        <v>73</v>
      </c>
      <c r="K530" s="2">
        <v>62</v>
      </c>
      <c r="L530">
        <f t="shared" si="24"/>
        <v>406</v>
      </c>
      <c r="M530" s="4">
        <f t="shared" si="25"/>
        <v>67.666666666666671</v>
      </c>
      <c r="N530" t="str" cm="1">
        <f t="array" ref="N530">_xlfn.IFS(M530&gt;=70,"A",M530&gt;=60,"B",M530&gt;=50,"C",M530&gt;=45,"D",M530&gt;=40,"E",TRUE,"F")</f>
        <v>B</v>
      </c>
      <c r="O530">
        <f t="shared" si="26"/>
        <v>15</v>
      </c>
    </row>
    <row r="531" spans="1:15" x14ac:dyDescent="0.35">
      <c r="A531" s="2" t="s">
        <v>503</v>
      </c>
      <c r="B531" s="2" t="s">
        <v>504</v>
      </c>
      <c r="C531" s="2" t="s">
        <v>23</v>
      </c>
      <c r="D531" s="2" t="s">
        <v>460</v>
      </c>
      <c r="E531" s="2" t="s">
        <v>15</v>
      </c>
      <c r="F531" s="2">
        <v>47</v>
      </c>
      <c r="G531" s="2">
        <v>65</v>
      </c>
      <c r="H531" s="2">
        <v>51</v>
      </c>
      <c r="I531" s="2">
        <v>52</v>
      </c>
      <c r="J531" s="2">
        <v>61</v>
      </c>
      <c r="K531" s="2">
        <v>46</v>
      </c>
      <c r="L531">
        <f t="shared" si="24"/>
        <v>322</v>
      </c>
      <c r="M531" s="4">
        <f t="shared" si="25"/>
        <v>53.666666666666664</v>
      </c>
      <c r="N531" t="str" cm="1">
        <f t="array" ref="N531">_xlfn.IFS(M531&gt;=70,"A",M531&gt;=60,"B",M531&gt;=50,"C",M531&gt;=45,"D",M531&gt;=40,"E",TRUE,"F")</f>
        <v>C</v>
      </c>
      <c r="O531">
        <f t="shared" si="26"/>
        <v>29</v>
      </c>
    </row>
    <row r="532" spans="1:15" x14ac:dyDescent="0.35">
      <c r="A532" s="2" t="s">
        <v>503</v>
      </c>
      <c r="B532" s="2" t="s">
        <v>504</v>
      </c>
      <c r="C532" s="2" t="s">
        <v>23</v>
      </c>
      <c r="D532" s="2" t="s">
        <v>460</v>
      </c>
      <c r="E532" s="2" t="s">
        <v>17</v>
      </c>
      <c r="F532" s="2">
        <v>62</v>
      </c>
      <c r="G532" s="2">
        <v>66</v>
      </c>
      <c r="H532" s="2">
        <v>60</v>
      </c>
      <c r="I532" s="2">
        <v>61</v>
      </c>
      <c r="J532" s="2">
        <v>54</v>
      </c>
      <c r="K532" s="2">
        <v>56</v>
      </c>
      <c r="L532">
        <f t="shared" si="24"/>
        <v>359</v>
      </c>
      <c r="M532" s="4">
        <f t="shared" si="25"/>
        <v>59.833333333333336</v>
      </c>
      <c r="N532" t="str" cm="1">
        <f t="array" ref="N532">_xlfn.IFS(M532&gt;=70,"A",M532&gt;=60,"B",M532&gt;=50,"C",M532&gt;=45,"D",M532&gt;=40,"E",TRUE,"F")</f>
        <v>C</v>
      </c>
      <c r="O532">
        <f t="shared" si="26"/>
        <v>22</v>
      </c>
    </row>
    <row r="533" spans="1:15" x14ac:dyDescent="0.35">
      <c r="A533" s="2" t="s">
        <v>505</v>
      </c>
      <c r="B533" s="2" t="s">
        <v>506</v>
      </c>
      <c r="C533" s="2" t="s">
        <v>23</v>
      </c>
      <c r="D533" s="2" t="s">
        <v>460</v>
      </c>
      <c r="E533" s="2" t="s">
        <v>15</v>
      </c>
      <c r="F533" s="2">
        <v>50</v>
      </c>
      <c r="G533" s="2">
        <v>54</v>
      </c>
      <c r="H533" s="2">
        <v>56</v>
      </c>
      <c r="I533" s="2">
        <v>55</v>
      </c>
      <c r="J533" s="2">
        <v>48</v>
      </c>
      <c r="K533" s="2">
        <v>61</v>
      </c>
      <c r="L533">
        <f t="shared" si="24"/>
        <v>324</v>
      </c>
      <c r="M533" s="4">
        <f t="shared" si="25"/>
        <v>54</v>
      </c>
      <c r="N533" t="str" cm="1">
        <f t="array" ref="N533">_xlfn.IFS(M533&gt;=70,"A",M533&gt;=60,"B",M533&gt;=50,"C",M533&gt;=45,"D",M533&gt;=40,"E",TRUE,"F")</f>
        <v>C</v>
      </c>
      <c r="O533">
        <f t="shared" si="26"/>
        <v>27</v>
      </c>
    </row>
    <row r="534" spans="1:15" x14ac:dyDescent="0.35">
      <c r="A534" s="2" t="s">
        <v>505</v>
      </c>
      <c r="B534" s="2" t="s">
        <v>506</v>
      </c>
      <c r="C534" s="2" t="s">
        <v>23</v>
      </c>
      <c r="D534" s="2" t="s">
        <v>460</v>
      </c>
      <c r="E534" s="2" t="s">
        <v>17</v>
      </c>
      <c r="F534" s="2">
        <v>37</v>
      </c>
      <c r="G534" s="2">
        <v>59</v>
      </c>
      <c r="H534" s="2">
        <v>52</v>
      </c>
      <c r="I534" s="2">
        <v>50</v>
      </c>
      <c r="J534" s="2">
        <v>58</v>
      </c>
      <c r="K534" s="2">
        <v>69</v>
      </c>
      <c r="L534">
        <f t="shared" si="24"/>
        <v>325</v>
      </c>
      <c r="M534" s="4">
        <f t="shared" si="25"/>
        <v>54.166666666666664</v>
      </c>
      <c r="N534" t="str" cm="1">
        <f t="array" ref="N534">_xlfn.IFS(M534&gt;=70,"A",M534&gt;=60,"B",M534&gt;=50,"C",M534&gt;=45,"D",M534&gt;=40,"E",TRUE,"F")</f>
        <v>C</v>
      </c>
      <c r="O534">
        <f t="shared" si="26"/>
        <v>31</v>
      </c>
    </row>
    <row r="535" spans="1:15" x14ac:dyDescent="0.35">
      <c r="A535" s="2" t="s">
        <v>505</v>
      </c>
      <c r="B535" s="2" t="s">
        <v>506</v>
      </c>
      <c r="C535" s="2" t="s">
        <v>23</v>
      </c>
      <c r="D535" s="2" t="s">
        <v>460</v>
      </c>
      <c r="E535" s="2" t="s">
        <v>20</v>
      </c>
      <c r="F535" s="2">
        <v>39</v>
      </c>
      <c r="G535" s="2">
        <v>64</v>
      </c>
      <c r="H535" s="2">
        <v>51</v>
      </c>
      <c r="I535" s="2">
        <v>63</v>
      </c>
      <c r="J535" s="2">
        <v>58</v>
      </c>
      <c r="K535" s="2">
        <v>61</v>
      </c>
      <c r="L535">
        <f t="shared" si="24"/>
        <v>336</v>
      </c>
      <c r="M535" s="4">
        <f t="shared" si="25"/>
        <v>56</v>
      </c>
      <c r="N535" t="str" cm="1">
        <f t="array" ref="N535">_xlfn.IFS(M535&gt;=70,"A",M535&gt;=60,"B",M535&gt;=50,"C",M535&gt;=45,"D",M535&gt;=40,"E",TRUE,"F")</f>
        <v>C</v>
      </c>
      <c r="O535">
        <f t="shared" si="26"/>
        <v>30</v>
      </c>
    </row>
    <row r="536" spans="1:15" x14ac:dyDescent="0.35">
      <c r="A536" s="2" t="s">
        <v>507</v>
      </c>
      <c r="B536" s="2" t="s">
        <v>508</v>
      </c>
      <c r="C536" s="2" t="s">
        <v>18</v>
      </c>
      <c r="D536" s="2" t="s">
        <v>460</v>
      </c>
      <c r="E536" s="2" t="s">
        <v>20</v>
      </c>
      <c r="F536" s="2">
        <v>68</v>
      </c>
      <c r="G536" s="2">
        <v>67</v>
      </c>
      <c r="H536" s="2">
        <v>65</v>
      </c>
      <c r="I536" s="2">
        <v>68</v>
      </c>
      <c r="J536" s="2">
        <v>73</v>
      </c>
      <c r="K536" s="2">
        <v>70</v>
      </c>
      <c r="L536">
        <f t="shared" si="24"/>
        <v>411</v>
      </c>
      <c r="M536" s="4">
        <f t="shared" si="25"/>
        <v>68.5</v>
      </c>
      <c r="N536" t="str" cm="1">
        <f t="array" ref="N536">_xlfn.IFS(M536&gt;=70,"A",M536&gt;=60,"B",M536&gt;=50,"C",M536&gt;=45,"D",M536&gt;=40,"E",TRUE,"F")</f>
        <v>B</v>
      </c>
      <c r="O536">
        <f t="shared" si="26"/>
        <v>14</v>
      </c>
    </row>
    <row r="537" spans="1:15" x14ac:dyDescent="0.35">
      <c r="A537" s="2" t="s">
        <v>507</v>
      </c>
      <c r="B537" s="2" t="s">
        <v>508</v>
      </c>
      <c r="C537" s="2" t="s">
        <v>18</v>
      </c>
      <c r="D537" s="2" t="s">
        <v>460</v>
      </c>
      <c r="E537" s="2" t="s">
        <v>15</v>
      </c>
      <c r="F537" s="2">
        <v>68</v>
      </c>
      <c r="G537" s="2">
        <v>63</v>
      </c>
      <c r="H537" s="2">
        <v>59</v>
      </c>
      <c r="I537" s="2">
        <v>66</v>
      </c>
      <c r="J537" s="2">
        <v>74</v>
      </c>
      <c r="K537" s="2">
        <v>66</v>
      </c>
      <c r="L537">
        <f t="shared" si="24"/>
        <v>396</v>
      </c>
      <c r="M537" s="4">
        <f t="shared" si="25"/>
        <v>66</v>
      </c>
      <c r="N537" t="str" cm="1">
        <f t="array" ref="N537">_xlfn.IFS(M537&gt;=70,"A",M537&gt;=60,"B",M537&gt;=50,"C",M537&gt;=45,"D",M537&gt;=40,"E",TRUE,"F")</f>
        <v>B</v>
      </c>
      <c r="O537">
        <f t="shared" si="26"/>
        <v>11</v>
      </c>
    </row>
    <row r="538" spans="1:15" x14ac:dyDescent="0.35">
      <c r="A538" s="2" t="s">
        <v>507</v>
      </c>
      <c r="B538" s="2" t="s">
        <v>508</v>
      </c>
      <c r="C538" s="2" t="s">
        <v>18</v>
      </c>
      <c r="D538" s="2" t="s">
        <v>460</v>
      </c>
      <c r="E538" s="2" t="s">
        <v>17</v>
      </c>
      <c r="F538" s="2">
        <v>51</v>
      </c>
      <c r="G538" s="2">
        <v>62</v>
      </c>
      <c r="H538" s="2">
        <v>65</v>
      </c>
      <c r="I538" s="2">
        <v>66</v>
      </c>
      <c r="J538" s="2">
        <v>70</v>
      </c>
      <c r="K538" s="2">
        <v>64</v>
      </c>
      <c r="L538">
        <f t="shared" si="24"/>
        <v>378</v>
      </c>
      <c r="M538" s="4">
        <f t="shared" si="25"/>
        <v>63</v>
      </c>
      <c r="N538" t="str" cm="1">
        <f t="array" ref="N538">_xlfn.IFS(M538&gt;=70,"A",M538&gt;=60,"B",M538&gt;=50,"C",M538&gt;=45,"D",M538&gt;=40,"E",TRUE,"F")</f>
        <v>B</v>
      </c>
      <c r="O538">
        <f t="shared" si="26"/>
        <v>14</v>
      </c>
    </row>
    <row r="539" spans="1:15" x14ac:dyDescent="0.35">
      <c r="A539" s="2" t="s">
        <v>509</v>
      </c>
      <c r="B539" s="2" t="s">
        <v>510</v>
      </c>
      <c r="C539" s="2" t="s">
        <v>18</v>
      </c>
      <c r="D539" s="2" t="s">
        <v>460</v>
      </c>
      <c r="E539" s="2" t="s">
        <v>15</v>
      </c>
      <c r="F539" s="2">
        <v>48</v>
      </c>
      <c r="G539" s="2">
        <v>60</v>
      </c>
      <c r="H539" s="2">
        <v>50</v>
      </c>
      <c r="I539" s="2">
        <v>57</v>
      </c>
      <c r="J539" s="2">
        <v>49</v>
      </c>
      <c r="K539" s="2">
        <v>59</v>
      </c>
      <c r="L539">
        <f t="shared" si="24"/>
        <v>323</v>
      </c>
      <c r="M539" s="4">
        <f t="shared" si="25"/>
        <v>53.833333333333336</v>
      </c>
      <c r="N539" t="str" cm="1">
        <f t="array" ref="N539">_xlfn.IFS(M539&gt;=70,"A",M539&gt;=60,"B",M539&gt;=50,"C",M539&gt;=45,"D",M539&gt;=40,"E",TRUE,"F")</f>
        <v>C</v>
      </c>
      <c r="O539">
        <f t="shared" si="26"/>
        <v>28</v>
      </c>
    </row>
    <row r="540" spans="1:15" x14ac:dyDescent="0.35">
      <c r="A540" s="2" t="s">
        <v>509</v>
      </c>
      <c r="B540" s="2" t="s">
        <v>510</v>
      </c>
      <c r="C540" s="2" t="s">
        <v>18</v>
      </c>
      <c r="D540" s="2" t="s">
        <v>460</v>
      </c>
      <c r="E540" s="2" t="s">
        <v>17</v>
      </c>
      <c r="F540" s="2">
        <v>40</v>
      </c>
      <c r="G540" s="2">
        <v>48</v>
      </c>
      <c r="H540" s="2">
        <v>48</v>
      </c>
      <c r="I540" s="2">
        <v>71</v>
      </c>
      <c r="J540" s="2">
        <v>66</v>
      </c>
      <c r="K540" s="2">
        <v>63</v>
      </c>
      <c r="L540">
        <f t="shared" si="24"/>
        <v>336</v>
      </c>
      <c r="M540" s="4">
        <f t="shared" si="25"/>
        <v>56</v>
      </c>
      <c r="N540" t="str" cm="1">
        <f t="array" ref="N540">_xlfn.IFS(M540&gt;=70,"A",M540&gt;=60,"B",M540&gt;=50,"C",M540&gt;=45,"D",M540&gt;=40,"E",TRUE,"F")</f>
        <v>C</v>
      </c>
      <c r="O540">
        <f t="shared" si="26"/>
        <v>29</v>
      </c>
    </row>
    <row r="541" spans="1:15" x14ac:dyDescent="0.35">
      <c r="A541" s="2" t="s">
        <v>509</v>
      </c>
      <c r="B541" s="2" t="s">
        <v>510</v>
      </c>
      <c r="C541" s="2" t="s">
        <v>18</v>
      </c>
      <c r="D541" s="2" t="s">
        <v>460</v>
      </c>
      <c r="E541" s="2" t="s">
        <v>20</v>
      </c>
      <c r="F541" s="2">
        <v>50</v>
      </c>
      <c r="G541" s="2">
        <v>62</v>
      </c>
      <c r="H541" s="2">
        <v>37</v>
      </c>
      <c r="I541" s="2">
        <v>48</v>
      </c>
      <c r="J541" s="2">
        <v>57</v>
      </c>
      <c r="K541" s="2">
        <v>54</v>
      </c>
      <c r="L541">
        <f t="shared" si="24"/>
        <v>308</v>
      </c>
      <c r="M541" s="4">
        <f t="shared" si="25"/>
        <v>51.333333333333336</v>
      </c>
      <c r="N541" t="str" cm="1">
        <f t="array" ref="N541">_xlfn.IFS(M541&gt;=70,"A",M541&gt;=60,"B",M541&gt;=50,"C",M541&gt;=45,"D",M541&gt;=40,"E",TRUE,"F")</f>
        <v>C</v>
      </c>
      <c r="O541">
        <f t="shared" si="26"/>
        <v>32</v>
      </c>
    </row>
    <row r="542" spans="1:15" x14ac:dyDescent="0.35">
      <c r="A542" s="2" t="s">
        <v>511</v>
      </c>
      <c r="B542" s="2" t="s">
        <v>512</v>
      </c>
      <c r="C542" s="2" t="s">
        <v>18</v>
      </c>
      <c r="D542" s="2" t="s">
        <v>460</v>
      </c>
      <c r="E542" s="2" t="s">
        <v>20</v>
      </c>
      <c r="F542" s="2">
        <v>62</v>
      </c>
      <c r="G542" s="2">
        <v>60</v>
      </c>
      <c r="H542" s="2">
        <v>66</v>
      </c>
      <c r="I542" s="2">
        <v>71</v>
      </c>
      <c r="J542" s="2">
        <v>75</v>
      </c>
      <c r="K542" s="2">
        <v>59</v>
      </c>
      <c r="L542">
        <f t="shared" si="24"/>
        <v>393</v>
      </c>
      <c r="M542" s="4">
        <f t="shared" si="25"/>
        <v>65.5</v>
      </c>
      <c r="N542" t="str" cm="1">
        <f t="array" ref="N542">_xlfn.IFS(M542&gt;=70,"A",M542&gt;=60,"B",M542&gt;=50,"C",M542&gt;=45,"D",M542&gt;=40,"E",TRUE,"F")</f>
        <v>B</v>
      </c>
      <c r="O542">
        <f t="shared" si="26"/>
        <v>19</v>
      </c>
    </row>
    <row r="543" spans="1:15" x14ac:dyDescent="0.35">
      <c r="A543" s="2" t="s">
        <v>511</v>
      </c>
      <c r="B543" s="2" t="s">
        <v>512</v>
      </c>
      <c r="C543" s="2" t="s">
        <v>18</v>
      </c>
      <c r="D543" s="2" t="s">
        <v>460</v>
      </c>
      <c r="E543" s="2" t="s">
        <v>15</v>
      </c>
      <c r="F543" s="2">
        <v>38</v>
      </c>
      <c r="G543" s="2">
        <v>50</v>
      </c>
      <c r="H543" s="2">
        <v>56</v>
      </c>
      <c r="I543" s="2">
        <v>63</v>
      </c>
      <c r="J543" s="2">
        <v>57</v>
      </c>
      <c r="K543" s="2">
        <v>61</v>
      </c>
      <c r="L543">
        <f t="shared" si="24"/>
        <v>325</v>
      </c>
      <c r="M543" s="4">
        <f t="shared" si="25"/>
        <v>54.166666666666664</v>
      </c>
      <c r="N543" t="str" cm="1">
        <f t="array" ref="N543">_xlfn.IFS(M543&gt;=70,"A",M543&gt;=60,"B",M543&gt;=50,"C",M543&gt;=45,"D",M543&gt;=40,"E",TRUE,"F")</f>
        <v>C</v>
      </c>
      <c r="O543">
        <f t="shared" si="26"/>
        <v>26</v>
      </c>
    </row>
    <row r="544" spans="1:15" x14ac:dyDescent="0.35">
      <c r="A544" s="2" t="s">
        <v>511</v>
      </c>
      <c r="B544" s="2" t="s">
        <v>512</v>
      </c>
      <c r="C544" s="2" t="s">
        <v>18</v>
      </c>
      <c r="D544" s="2" t="s">
        <v>460</v>
      </c>
      <c r="E544" s="2" t="s">
        <v>17</v>
      </c>
      <c r="F544" s="2">
        <v>57</v>
      </c>
      <c r="G544" s="2">
        <v>40</v>
      </c>
      <c r="H544" s="2">
        <v>61</v>
      </c>
      <c r="I544" s="2">
        <v>47</v>
      </c>
      <c r="J544" s="2">
        <v>65</v>
      </c>
      <c r="K544" s="2">
        <v>68</v>
      </c>
      <c r="L544">
        <f t="shared" si="24"/>
        <v>338</v>
      </c>
      <c r="M544" s="4">
        <f t="shared" si="25"/>
        <v>56.333333333333336</v>
      </c>
      <c r="N544" t="str" cm="1">
        <f t="array" ref="N544">_xlfn.IFS(M544&gt;=70,"A",M544&gt;=60,"B",M544&gt;=50,"C",M544&gt;=45,"D",M544&gt;=40,"E",TRUE,"F")</f>
        <v>C</v>
      </c>
      <c r="O544">
        <f t="shared" si="26"/>
        <v>28</v>
      </c>
    </row>
    <row r="545" spans="1:15" x14ac:dyDescent="0.35">
      <c r="A545" s="2" t="s">
        <v>513</v>
      </c>
      <c r="B545" s="2" t="s">
        <v>514</v>
      </c>
      <c r="C545" s="2" t="s">
        <v>18</v>
      </c>
      <c r="D545" s="2" t="s">
        <v>460</v>
      </c>
      <c r="E545" s="2" t="s">
        <v>15</v>
      </c>
      <c r="F545" s="2">
        <v>25</v>
      </c>
      <c r="G545" s="2">
        <v>39</v>
      </c>
      <c r="H545" s="2">
        <v>33</v>
      </c>
      <c r="I545" s="2">
        <v>44</v>
      </c>
      <c r="J545" s="2">
        <v>44</v>
      </c>
      <c r="K545" s="2">
        <v>44</v>
      </c>
      <c r="L545">
        <f t="shared" si="24"/>
        <v>229</v>
      </c>
      <c r="M545" s="4">
        <f t="shared" si="25"/>
        <v>38.166666666666664</v>
      </c>
      <c r="N545" t="str" cm="1">
        <f t="array" ref="N545">_xlfn.IFS(M545&gt;=70,"A",M545&gt;=60,"B",M545&gt;=50,"C",M545&gt;=45,"D",M545&gt;=40,"E",TRUE,"F")</f>
        <v>F</v>
      </c>
      <c r="O545">
        <f t="shared" si="26"/>
        <v>37</v>
      </c>
    </row>
    <row r="546" spans="1:15" x14ac:dyDescent="0.35">
      <c r="A546" s="2" t="s">
        <v>513</v>
      </c>
      <c r="B546" s="2" t="s">
        <v>514</v>
      </c>
      <c r="C546" s="2" t="s">
        <v>18</v>
      </c>
      <c r="D546" s="2" t="s">
        <v>460</v>
      </c>
      <c r="E546" s="2" t="s">
        <v>17</v>
      </c>
      <c r="F546" s="2">
        <v>37</v>
      </c>
      <c r="G546" s="2">
        <v>41</v>
      </c>
      <c r="H546" s="2">
        <v>32</v>
      </c>
      <c r="I546" s="2">
        <v>47</v>
      </c>
      <c r="J546" s="2">
        <v>39</v>
      </c>
      <c r="K546" s="2">
        <v>57</v>
      </c>
      <c r="L546">
        <f t="shared" si="24"/>
        <v>253</v>
      </c>
      <c r="M546" s="4">
        <f t="shared" si="25"/>
        <v>42.166666666666664</v>
      </c>
      <c r="N546" t="str" cm="1">
        <f t="array" ref="N546">_xlfn.IFS(M546&gt;=70,"A",M546&gt;=60,"B",M546&gt;=50,"C",M546&gt;=45,"D",M546&gt;=40,"E",TRUE,"F")</f>
        <v>E</v>
      </c>
      <c r="O546">
        <f t="shared" si="26"/>
        <v>37</v>
      </c>
    </row>
    <row r="547" spans="1:15" x14ac:dyDescent="0.35">
      <c r="A547" s="2" t="s">
        <v>513</v>
      </c>
      <c r="B547" s="2" t="s">
        <v>514</v>
      </c>
      <c r="C547" s="2" t="s">
        <v>18</v>
      </c>
      <c r="D547" s="2" t="s">
        <v>460</v>
      </c>
      <c r="E547" s="2" t="s">
        <v>20</v>
      </c>
      <c r="F547" s="2">
        <v>45</v>
      </c>
      <c r="G547" s="2">
        <v>38</v>
      </c>
      <c r="H547" s="2">
        <v>42</v>
      </c>
      <c r="I547" s="2">
        <v>36</v>
      </c>
      <c r="J547" s="2">
        <v>48</v>
      </c>
      <c r="K547" s="2">
        <v>60</v>
      </c>
      <c r="L547">
        <f t="shared" si="24"/>
        <v>269</v>
      </c>
      <c r="M547" s="4">
        <f t="shared" si="25"/>
        <v>44.833333333333336</v>
      </c>
      <c r="N547" t="str" cm="1">
        <f t="array" ref="N547">_xlfn.IFS(M547&gt;=70,"A",M547&gt;=60,"B",M547&gt;=50,"C",M547&gt;=45,"D",M547&gt;=40,"E",TRUE,"F")</f>
        <v>E</v>
      </c>
      <c r="O547">
        <f t="shared" si="26"/>
        <v>38</v>
      </c>
    </row>
    <row r="548" spans="1:15" x14ac:dyDescent="0.35">
      <c r="A548" s="2" t="s">
        <v>516</v>
      </c>
      <c r="B548" s="2" t="s">
        <v>518</v>
      </c>
      <c r="C548" s="2" t="s">
        <v>18</v>
      </c>
      <c r="D548" s="2" t="s">
        <v>460</v>
      </c>
      <c r="E548" s="2" t="s">
        <v>20</v>
      </c>
      <c r="F548" s="2">
        <v>61</v>
      </c>
      <c r="G548" s="2">
        <v>55</v>
      </c>
      <c r="H548" s="2">
        <v>61</v>
      </c>
      <c r="I548" s="2">
        <v>64</v>
      </c>
      <c r="J548" s="2">
        <v>81</v>
      </c>
      <c r="K548" s="2">
        <v>67</v>
      </c>
      <c r="L548">
        <f t="shared" si="24"/>
        <v>389</v>
      </c>
      <c r="M548" s="4">
        <f t="shared" si="25"/>
        <v>64.833333333333329</v>
      </c>
      <c r="N548" t="str" cm="1">
        <f t="array" ref="N548">_xlfn.IFS(M548&gt;=70,"A",M548&gt;=60,"B",M548&gt;=50,"C",M548&gt;=45,"D",M548&gt;=40,"E",TRUE,"F")</f>
        <v>B</v>
      </c>
      <c r="O548">
        <f t="shared" si="26"/>
        <v>20</v>
      </c>
    </row>
    <row r="549" spans="1:15" x14ac:dyDescent="0.35">
      <c r="A549" s="2" t="s">
        <v>516</v>
      </c>
      <c r="B549" s="2" t="s">
        <v>518</v>
      </c>
      <c r="C549" s="2" t="s">
        <v>18</v>
      </c>
      <c r="D549" s="2" t="s">
        <v>460</v>
      </c>
      <c r="E549" s="2" t="s">
        <v>15</v>
      </c>
      <c r="F549" s="2">
        <v>52</v>
      </c>
      <c r="G549" s="2">
        <v>64</v>
      </c>
      <c r="H549" s="2">
        <v>64</v>
      </c>
      <c r="I549" s="2">
        <v>61</v>
      </c>
      <c r="J549" s="2">
        <v>69</v>
      </c>
      <c r="K549" s="2">
        <v>62</v>
      </c>
      <c r="L549">
        <f t="shared" si="24"/>
        <v>372</v>
      </c>
      <c r="M549" s="4">
        <f t="shared" si="25"/>
        <v>62</v>
      </c>
      <c r="N549" t="str" cm="1">
        <f t="array" ref="N549">_xlfn.IFS(M549&gt;=70,"A",M549&gt;=60,"B",M549&gt;=50,"C",M549&gt;=45,"D",M549&gt;=40,"E",TRUE,"F")</f>
        <v>B</v>
      </c>
      <c r="O549">
        <f t="shared" si="26"/>
        <v>14</v>
      </c>
    </row>
    <row r="550" spans="1:15" x14ac:dyDescent="0.35">
      <c r="A550" s="2" t="s">
        <v>516</v>
      </c>
      <c r="B550" s="2" t="s">
        <v>518</v>
      </c>
      <c r="C550" s="2" t="s">
        <v>18</v>
      </c>
      <c r="D550" s="2" t="s">
        <v>460</v>
      </c>
      <c r="E550" s="2" t="s">
        <v>17</v>
      </c>
      <c r="F550" s="2">
        <v>57</v>
      </c>
      <c r="G550" s="2">
        <v>51</v>
      </c>
      <c r="H550" s="2">
        <v>55</v>
      </c>
      <c r="I550" s="2">
        <v>62</v>
      </c>
      <c r="J550" s="2">
        <v>70</v>
      </c>
      <c r="K550" s="2">
        <v>60</v>
      </c>
      <c r="L550">
        <f t="shared" si="24"/>
        <v>355</v>
      </c>
      <c r="M550" s="4">
        <f t="shared" si="25"/>
        <v>59.166666666666664</v>
      </c>
      <c r="N550" t="str" cm="1">
        <f t="array" ref="N550">_xlfn.IFS(M550&gt;=70,"A",M550&gt;=60,"B",M550&gt;=50,"C",M550&gt;=45,"D",M550&gt;=40,"E",TRUE,"F")</f>
        <v>C</v>
      </c>
      <c r="O550">
        <f t="shared" si="26"/>
        <v>23</v>
      </c>
    </row>
    <row r="551" spans="1:15" x14ac:dyDescent="0.35">
      <c r="A551" s="2" t="s">
        <v>519</v>
      </c>
      <c r="B551" s="2" t="s">
        <v>520</v>
      </c>
      <c r="C551" s="2" t="s">
        <v>23</v>
      </c>
      <c r="D551" s="2" t="s">
        <v>460</v>
      </c>
      <c r="E551" s="2" t="s">
        <v>15</v>
      </c>
      <c r="F551" s="2">
        <v>59</v>
      </c>
      <c r="G551" s="2">
        <v>72</v>
      </c>
      <c r="H551" s="2">
        <v>59</v>
      </c>
      <c r="I551" s="2">
        <v>72</v>
      </c>
      <c r="J551" s="2">
        <v>69</v>
      </c>
      <c r="K551" s="2">
        <v>66</v>
      </c>
      <c r="L551">
        <f t="shared" si="24"/>
        <v>397</v>
      </c>
      <c r="M551" s="4">
        <f t="shared" si="25"/>
        <v>66.166666666666671</v>
      </c>
      <c r="N551" t="str" cm="1">
        <f t="array" ref="N551">_xlfn.IFS(M551&gt;=70,"A",M551&gt;=60,"B",M551&gt;=50,"C",M551&gt;=45,"D",M551&gt;=40,"E",TRUE,"F")</f>
        <v>B</v>
      </c>
      <c r="O551">
        <f t="shared" si="26"/>
        <v>10</v>
      </c>
    </row>
    <row r="552" spans="1:15" x14ac:dyDescent="0.35">
      <c r="A552" s="2" t="s">
        <v>519</v>
      </c>
      <c r="B552" s="2" t="s">
        <v>520</v>
      </c>
      <c r="C552" s="2" t="s">
        <v>23</v>
      </c>
      <c r="D552" s="2" t="s">
        <v>460</v>
      </c>
      <c r="E552" s="2" t="s">
        <v>17</v>
      </c>
      <c r="F552" s="2">
        <v>47</v>
      </c>
      <c r="G552" s="2">
        <v>64</v>
      </c>
      <c r="H552" s="2">
        <v>52</v>
      </c>
      <c r="I552" s="2">
        <v>67</v>
      </c>
      <c r="J552" s="2">
        <v>63</v>
      </c>
      <c r="K552" s="2">
        <v>58</v>
      </c>
      <c r="L552">
        <f t="shared" si="24"/>
        <v>351</v>
      </c>
      <c r="M552" s="4">
        <f t="shared" si="25"/>
        <v>58.5</v>
      </c>
      <c r="N552" t="str" cm="1">
        <f t="array" ref="N552">_xlfn.IFS(M552&gt;=70,"A",M552&gt;=60,"B",M552&gt;=50,"C",M552&gt;=45,"D",M552&gt;=40,"E",TRUE,"F")</f>
        <v>C</v>
      </c>
      <c r="O552">
        <f t="shared" si="26"/>
        <v>24</v>
      </c>
    </row>
    <row r="553" spans="1:15" x14ac:dyDescent="0.35">
      <c r="A553" s="2" t="s">
        <v>519</v>
      </c>
      <c r="B553" s="2" t="s">
        <v>520</v>
      </c>
      <c r="C553" s="2" t="s">
        <v>23</v>
      </c>
      <c r="D553" s="2" t="s">
        <v>460</v>
      </c>
      <c r="E553" s="2" t="s">
        <v>20</v>
      </c>
      <c r="F553" s="2">
        <v>44</v>
      </c>
      <c r="G553" s="2">
        <v>66</v>
      </c>
      <c r="H553" s="2">
        <v>49</v>
      </c>
      <c r="I553" s="2">
        <v>48</v>
      </c>
      <c r="J553" s="2">
        <v>57</v>
      </c>
      <c r="K553" s="2">
        <v>54</v>
      </c>
      <c r="L553">
        <f t="shared" si="24"/>
        <v>318</v>
      </c>
      <c r="M553" s="4">
        <f t="shared" si="25"/>
        <v>53</v>
      </c>
      <c r="N553" t="str" cm="1">
        <f t="array" ref="N553">_xlfn.IFS(M553&gt;=70,"A",M553&gt;=60,"B",M553&gt;=50,"C",M553&gt;=45,"D",M553&gt;=40,"E",TRUE,"F")</f>
        <v>C</v>
      </c>
      <c r="O553">
        <f t="shared" si="26"/>
        <v>31</v>
      </c>
    </row>
    <row r="554" spans="1:15" x14ac:dyDescent="0.35">
      <c r="A554" s="2" t="s">
        <v>523</v>
      </c>
      <c r="B554" s="2" t="s">
        <v>524</v>
      </c>
      <c r="C554" s="2" t="s">
        <v>18</v>
      </c>
      <c r="D554" s="2" t="s">
        <v>460</v>
      </c>
      <c r="E554" s="2" t="s">
        <v>20</v>
      </c>
      <c r="F554" s="2">
        <v>77</v>
      </c>
      <c r="G554" s="2">
        <v>73</v>
      </c>
      <c r="H554" s="2">
        <v>66</v>
      </c>
      <c r="I554" s="2">
        <v>68</v>
      </c>
      <c r="J554" s="2">
        <v>81</v>
      </c>
      <c r="K554" s="2">
        <v>82</v>
      </c>
      <c r="L554">
        <f t="shared" si="24"/>
        <v>447</v>
      </c>
      <c r="M554" s="4">
        <f t="shared" si="25"/>
        <v>74.5</v>
      </c>
      <c r="N554" t="str" cm="1">
        <f t="array" ref="N554">_xlfn.IFS(M554&gt;=70,"A",M554&gt;=60,"B",M554&gt;=50,"C",M554&gt;=45,"D",M554&gt;=40,"E",TRUE,"F")</f>
        <v>A</v>
      </c>
      <c r="O554">
        <f t="shared" si="26"/>
        <v>10</v>
      </c>
    </row>
    <row r="555" spans="1:15" x14ac:dyDescent="0.35">
      <c r="A555" s="2" t="s">
        <v>523</v>
      </c>
      <c r="B555" s="2" t="s">
        <v>524</v>
      </c>
      <c r="C555" s="2" t="s">
        <v>18</v>
      </c>
      <c r="D555" s="2" t="s">
        <v>460</v>
      </c>
      <c r="E555" s="2" t="s">
        <v>15</v>
      </c>
      <c r="F555" s="2">
        <v>51</v>
      </c>
      <c r="G555" s="2">
        <v>70</v>
      </c>
      <c r="H555" s="2">
        <v>58</v>
      </c>
      <c r="I555" s="2">
        <v>79</v>
      </c>
      <c r="J555" s="2">
        <v>79</v>
      </c>
      <c r="K555" s="2">
        <v>78</v>
      </c>
      <c r="L555">
        <f t="shared" si="24"/>
        <v>415</v>
      </c>
      <c r="M555" s="4">
        <f t="shared" si="25"/>
        <v>69.166666666666671</v>
      </c>
      <c r="N555" t="str" cm="1">
        <f t="array" ref="N555">_xlfn.IFS(M555&gt;=70,"A",M555&gt;=60,"B",M555&gt;=50,"C",M555&gt;=45,"D",M555&gt;=40,"E",TRUE,"F")</f>
        <v>B</v>
      </c>
      <c r="O555">
        <f t="shared" si="26"/>
        <v>7</v>
      </c>
    </row>
    <row r="556" spans="1:15" x14ac:dyDescent="0.35">
      <c r="A556" s="2" t="s">
        <v>523</v>
      </c>
      <c r="B556" s="2" t="s">
        <v>524</v>
      </c>
      <c r="C556" s="2" t="s">
        <v>18</v>
      </c>
      <c r="D556" s="2" t="s">
        <v>460</v>
      </c>
      <c r="E556" s="2" t="s">
        <v>17</v>
      </c>
      <c r="F556" s="2">
        <v>64</v>
      </c>
      <c r="G556" s="2">
        <v>64</v>
      </c>
      <c r="H556" s="2">
        <v>70</v>
      </c>
      <c r="I556" s="2">
        <v>68</v>
      </c>
      <c r="J556" s="2">
        <v>82</v>
      </c>
      <c r="K556" s="2">
        <v>67</v>
      </c>
      <c r="L556">
        <f t="shared" si="24"/>
        <v>415</v>
      </c>
      <c r="M556" s="4">
        <f t="shared" si="25"/>
        <v>69.166666666666671</v>
      </c>
      <c r="N556" t="str" cm="1">
        <f t="array" ref="N556">_xlfn.IFS(M556&gt;=70,"A",M556&gt;=60,"B",M556&gt;=50,"C",M556&gt;=45,"D",M556&gt;=40,"E",TRUE,"F")</f>
        <v>B</v>
      </c>
      <c r="O556">
        <f t="shared" si="26"/>
        <v>10</v>
      </c>
    </row>
    <row r="557" spans="1:15" x14ac:dyDescent="0.35">
      <c r="A557" s="2" t="s">
        <v>525</v>
      </c>
      <c r="B557" s="2" t="s">
        <v>527</v>
      </c>
      <c r="C557" s="2" t="s">
        <v>18</v>
      </c>
      <c r="D557" s="2" t="s">
        <v>460</v>
      </c>
      <c r="E557" s="2" t="s">
        <v>20</v>
      </c>
      <c r="F557" s="2">
        <v>51</v>
      </c>
      <c r="G557" s="2">
        <v>60</v>
      </c>
      <c r="H557" s="2">
        <v>63</v>
      </c>
      <c r="I557" s="2">
        <v>59</v>
      </c>
      <c r="J557" s="2">
        <v>74</v>
      </c>
      <c r="K557" s="2">
        <v>69</v>
      </c>
      <c r="L557">
        <f t="shared" si="24"/>
        <v>376</v>
      </c>
      <c r="M557" s="4">
        <f t="shared" si="25"/>
        <v>62.666666666666664</v>
      </c>
      <c r="N557" t="str" cm="1">
        <f t="array" ref="N557">_xlfn.IFS(M557&gt;=70,"A",M557&gt;=60,"B",M557&gt;=50,"C",M557&gt;=45,"D",M557&gt;=40,"E",TRUE,"F")</f>
        <v>B</v>
      </c>
      <c r="O557">
        <f t="shared" si="26"/>
        <v>23</v>
      </c>
    </row>
    <row r="558" spans="1:15" x14ac:dyDescent="0.35">
      <c r="A558" s="2" t="s">
        <v>525</v>
      </c>
      <c r="B558" s="2" t="s">
        <v>527</v>
      </c>
      <c r="C558" s="2" t="s">
        <v>18</v>
      </c>
      <c r="D558" s="2" t="s">
        <v>460</v>
      </c>
      <c r="E558" s="2" t="s">
        <v>15</v>
      </c>
      <c r="F558" s="2">
        <v>59</v>
      </c>
      <c r="G558" s="2">
        <v>60</v>
      </c>
      <c r="H558" s="2">
        <v>54</v>
      </c>
      <c r="I558" s="2">
        <v>64</v>
      </c>
      <c r="J558" s="2">
        <v>56</v>
      </c>
      <c r="K558" s="2">
        <v>65</v>
      </c>
      <c r="L558">
        <f t="shared" si="24"/>
        <v>358</v>
      </c>
      <c r="M558" s="4">
        <f t="shared" si="25"/>
        <v>59.666666666666664</v>
      </c>
      <c r="N558" t="str" cm="1">
        <f t="array" ref="N558">_xlfn.IFS(M558&gt;=70,"A",M558&gt;=60,"B",M558&gt;=50,"C",M558&gt;=45,"D",M558&gt;=40,"E",TRUE,"F")</f>
        <v>C</v>
      </c>
      <c r="O558">
        <f t="shared" si="26"/>
        <v>18</v>
      </c>
    </row>
    <row r="559" spans="1:15" x14ac:dyDescent="0.35">
      <c r="A559" s="2" t="s">
        <v>525</v>
      </c>
      <c r="B559" s="2" t="s">
        <v>527</v>
      </c>
      <c r="C559" s="2" t="s">
        <v>18</v>
      </c>
      <c r="D559" s="2" t="s">
        <v>460</v>
      </c>
      <c r="E559" s="2" t="s">
        <v>17</v>
      </c>
      <c r="F559" s="2">
        <v>49</v>
      </c>
      <c r="G559" s="2">
        <v>70</v>
      </c>
      <c r="H559" s="2">
        <v>62</v>
      </c>
      <c r="I559" s="2">
        <v>61</v>
      </c>
      <c r="J559" s="2">
        <v>61</v>
      </c>
      <c r="K559" s="2">
        <v>74</v>
      </c>
      <c r="L559">
        <f t="shared" si="24"/>
        <v>377</v>
      </c>
      <c r="M559" s="4">
        <f t="shared" si="25"/>
        <v>62.833333333333336</v>
      </c>
      <c r="N559" t="str" cm="1">
        <f t="array" ref="N559">_xlfn.IFS(M559&gt;=70,"A",M559&gt;=60,"B",M559&gt;=50,"C",M559&gt;=45,"D",M559&gt;=40,"E",TRUE,"F")</f>
        <v>B</v>
      </c>
      <c r="O559">
        <f t="shared" si="26"/>
        <v>15</v>
      </c>
    </row>
    <row r="560" spans="1:15" x14ac:dyDescent="0.35">
      <c r="A560" s="2" t="s">
        <v>528</v>
      </c>
      <c r="B560" s="2" t="s">
        <v>529</v>
      </c>
      <c r="C560" s="2" t="s">
        <v>23</v>
      </c>
      <c r="D560" s="2" t="s">
        <v>460</v>
      </c>
      <c r="E560" s="2" t="s">
        <v>20</v>
      </c>
      <c r="F560" s="2">
        <v>63</v>
      </c>
      <c r="G560" s="2">
        <v>66</v>
      </c>
      <c r="H560" s="2">
        <v>67</v>
      </c>
      <c r="I560" s="2">
        <v>70</v>
      </c>
      <c r="J560" s="2">
        <v>88</v>
      </c>
      <c r="K560" s="2">
        <v>71</v>
      </c>
      <c r="L560">
        <f t="shared" si="24"/>
        <v>425</v>
      </c>
      <c r="M560" s="4">
        <f t="shared" si="25"/>
        <v>70.833333333333329</v>
      </c>
      <c r="N560" t="str" cm="1">
        <f t="array" ref="N560">_xlfn.IFS(M560&gt;=70,"A",M560&gt;=60,"B",M560&gt;=50,"C",M560&gt;=45,"D",M560&gt;=40,"E",TRUE,"F")</f>
        <v>A</v>
      </c>
      <c r="O560">
        <f t="shared" si="26"/>
        <v>11</v>
      </c>
    </row>
    <row r="561" spans="1:15" x14ac:dyDescent="0.35">
      <c r="A561" s="2" t="s">
        <v>528</v>
      </c>
      <c r="B561" s="2" t="s">
        <v>529</v>
      </c>
      <c r="C561" s="2" t="s">
        <v>23</v>
      </c>
      <c r="D561" s="2" t="s">
        <v>460</v>
      </c>
      <c r="E561" s="2" t="s">
        <v>15</v>
      </c>
      <c r="F561" s="2">
        <v>75</v>
      </c>
      <c r="G561" s="2">
        <v>70</v>
      </c>
      <c r="H561" s="2">
        <v>88</v>
      </c>
      <c r="I561" s="2">
        <v>76</v>
      </c>
      <c r="J561" s="2">
        <v>76</v>
      </c>
      <c r="K561" s="2">
        <v>67</v>
      </c>
      <c r="L561">
        <f t="shared" si="24"/>
        <v>452</v>
      </c>
      <c r="M561" s="4">
        <f t="shared" si="25"/>
        <v>75.333333333333329</v>
      </c>
      <c r="N561" t="str" cm="1">
        <f t="array" ref="N561">_xlfn.IFS(M561&gt;=70,"A",M561&gt;=60,"B",M561&gt;=50,"C",M561&gt;=45,"D",M561&gt;=40,"E",TRUE,"F")</f>
        <v>A</v>
      </c>
      <c r="O561">
        <f t="shared" si="26"/>
        <v>4</v>
      </c>
    </row>
    <row r="562" spans="1:15" x14ac:dyDescent="0.35">
      <c r="A562" s="2" t="s">
        <v>528</v>
      </c>
      <c r="B562" s="2" t="s">
        <v>529</v>
      </c>
      <c r="C562" s="2" t="s">
        <v>23</v>
      </c>
      <c r="D562" s="2" t="s">
        <v>460</v>
      </c>
      <c r="E562" s="2" t="s">
        <v>17</v>
      </c>
      <c r="F562" s="2">
        <v>67</v>
      </c>
      <c r="G562" s="2">
        <v>61</v>
      </c>
      <c r="H562" s="2">
        <v>67</v>
      </c>
      <c r="I562" s="2">
        <v>71</v>
      </c>
      <c r="J562" s="2">
        <v>81</v>
      </c>
      <c r="K562" s="2">
        <v>75</v>
      </c>
      <c r="L562">
        <f t="shared" si="24"/>
        <v>422</v>
      </c>
      <c r="M562" s="4">
        <f t="shared" si="25"/>
        <v>70.333333333333329</v>
      </c>
      <c r="N562" t="str" cm="1">
        <f t="array" ref="N562">_xlfn.IFS(M562&gt;=70,"A",M562&gt;=60,"B",M562&gt;=50,"C",M562&gt;=45,"D",M562&gt;=40,"E",TRUE,"F")</f>
        <v>A</v>
      </c>
      <c r="O562">
        <f t="shared" si="26"/>
        <v>9</v>
      </c>
    </row>
    <row r="563" spans="1:15" x14ac:dyDescent="0.35">
      <c r="A563" s="2" t="s">
        <v>530</v>
      </c>
      <c r="B563" s="2" t="s">
        <v>531</v>
      </c>
      <c r="C563" s="2" t="s">
        <v>18</v>
      </c>
      <c r="D563" s="2" t="s">
        <v>460</v>
      </c>
      <c r="E563" s="2" t="s">
        <v>20</v>
      </c>
      <c r="F563" s="2">
        <v>67</v>
      </c>
      <c r="G563" s="2">
        <v>89</v>
      </c>
      <c r="H563" s="2">
        <v>91</v>
      </c>
      <c r="I563" s="2">
        <v>84</v>
      </c>
      <c r="J563" s="2">
        <v>85</v>
      </c>
      <c r="K563" s="2">
        <v>95</v>
      </c>
      <c r="L563">
        <f t="shared" si="24"/>
        <v>511</v>
      </c>
      <c r="M563" s="4">
        <f t="shared" si="25"/>
        <v>85.166666666666671</v>
      </c>
      <c r="N563" t="str" cm="1">
        <f t="array" ref="N563">_xlfn.IFS(M563&gt;=70,"A",M563&gt;=60,"B",M563&gt;=50,"C",M563&gt;=45,"D",M563&gt;=40,"E",TRUE,"F")</f>
        <v>A</v>
      </c>
      <c r="O563">
        <f t="shared" si="26"/>
        <v>2</v>
      </c>
    </row>
    <row r="564" spans="1:15" x14ac:dyDescent="0.35">
      <c r="A564" s="2" t="s">
        <v>530</v>
      </c>
      <c r="B564" s="2" t="s">
        <v>531</v>
      </c>
      <c r="C564" s="2" t="s">
        <v>18</v>
      </c>
      <c r="D564" s="2" t="s">
        <v>460</v>
      </c>
      <c r="E564" s="2" t="s">
        <v>15</v>
      </c>
      <c r="F564" s="2">
        <v>68</v>
      </c>
      <c r="G564" s="2">
        <v>78</v>
      </c>
      <c r="H564" s="2">
        <v>88</v>
      </c>
      <c r="I564" s="2">
        <v>71</v>
      </c>
      <c r="J564" s="2">
        <v>96</v>
      </c>
      <c r="K564" s="2">
        <v>82</v>
      </c>
      <c r="L564">
        <f t="shared" si="24"/>
        <v>483</v>
      </c>
      <c r="M564" s="4">
        <f t="shared" si="25"/>
        <v>80.5</v>
      </c>
      <c r="N564" t="str" cm="1">
        <f t="array" ref="N564">_xlfn.IFS(M564&gt;=70,"A",M564&gt;=60,"B",M564&gt;=50,"C",M564&gt;=45,"D",M564&gt;=40,"E",TRUE,"F")</f>
        <v>A</v>
      </c>
      <c r="O564">
        <f t="shared" si="26"/>
        <v>2</v>
      </c>
    </row>
    <row r="565" spans="1:15" x14ac:dyDescent="0.35">
      <c r="A565" s="2" t="s">
        <v>530</v>
      </c>
      <c r="B565" s="2" t="s">
        <v>531</v>
      </c>
      <c r="C565" s="2" t="s">
        <v>18</v>
      </c>
      <c r="D565" s="2" t="s">
        <v>460</v>
      </c>
      <c r="E565" s="2" t="s">
        <v>17</v>
      </c>
      <c r="F565" s="2">
        <v>73</v>
      </c>
      <c r="G565" s="2">
        <v>77</v>
      </c>
      <c r="H565" s="2">
        <v>87</v>
      </c>
      <c r="I565" s="2">
        <v>84</v>
      </c>
      <c r="J565" s="2">
        <v>91</v>
      </c>
      <c r="K565" s="2">
        <v>92</v>
      </c>
      <c r="L565">
        <f t="shared" si="24"/>
        <v>504</v>
      </c>
      <c r="M565" s="4">
        <f t="shared" si="25"/>
        <v>84</v>
      </c>
      <c r="N565" t="str" cm="1">
        <f t="array" ref="N565">_xlfn.IFS(M565&gt;=70,"A",M565&gt;=60,"B",M565&gt;=50,"C",M565&gt;=45,"D",M565&gt;=40,"E",TRUE,"F")</f>
        <v>A</v>
      </c>
      <c r="O565">
        <f t="shared" si="26"/>
        <v>1</v>
      </c>
    </row>
    <row r="566" spans="1:15" x14ac:dyDescent="0.35">
      <c r="A566" s="2" t="s">
        <v>532</v>
      </c>
      <c r="B566" s="2" t="s">
        <v>533</v>
      </c>
      <c r="C566" s="2" t="s">
        <v>23</v>
      </c>
      <c r="D566" s="2" t="s">
        <v>460</v>
      </c>
      <c r="E566" s="2" t="s">
        <v>20</v>
      </c>
      <c r="F566" s="2">
        <v>97</v>
      </c>
      <c r="G566" s="2">
        <v>80</v>
      </c>
      <c r="H566" s="2">
        <v>82</v>
      </c>
      <c r="I566" s="2">
        <v>88</v>
      </c>
      <c r="J566" s="2">
        <v>91</v>
      </c>
      <c r="K566" s="2">
        <v>94</v>
      </c>
      <c r="L566">
        <f t="shared" si="24"/>
        <v>532</v>
      </c>
      <c r="M566" s="4">
        <f t="shared" si="25"/>
        <v>88.666666666666671</v>
      </c>
      <c r="N566" t="str" cm="1">
        <f t="array" ref="N566">_xlfn.IFS(M566&gt;=70,"A",M566&gt;=60,"B",M566&gt;=50,"C",M566&gt;=45,"D",M566&gt;=40,"E",TRUE,"F")</f>
        <v>A</v>
      </c>
      <c r="O566">
        <f t="shared" si="26"/>
        <v>1</v>
      </c>
    </row>
    <row r="567" spans="1:15" x14ac:dyDescent="0.35">
      <c r="A567" s="2" t="s">
        <v>532</v>
      </c>
      <c r="B567" s="2" t="s">
        <v>533</v>
      </c>
      <c r="C567" s="2" t="s">
        <v>23</v>
      </c>
      <c r="D567" s="2" t="s">
        <v>460</v>
      </c>
      <c r="E567" s="2" t="s">
        <v>15</v>
      </c>
      <c r="F567" s="2">
        <v>91</v>
      </c>
      <c r="G567" s="2">
        <v>96</v>
      </c>
      <c r="H567" s="2">
        <v>96</v>
      </c>
      <c r="I567" s="2">
        <v>83</v>
      </c>
      <c r="J567" s="2">
        <v>94</v>
      </c>
      <c r="K567" s="2">
        <v>88</v>
      </c>
      <c r="L567">
        <f t="shared" si="24"/>
        <v>548</v>
      </c>
      <c r="M567" s="4">
        <f t="shared" si="25"/>
        <v>91.333333333333329</v>
      </c>
      <c r="N567" t="str" cm="1">
        <f t="array" ref="N567">_xlfn.IFS(M567&gt;=70,"A",M567&gt;=60,"B",M567&gt;=50,"C",M567&gt;=45,"D",M567&gt;=40,"E",TRUE,"F")</f>
        <v>A</v>
      </c>
      <c r="O567">
        <f t="shared" si="26"/>
        <v>1</v>
      </c>
    </row>
    <row r="568" spans="1:15" x14ac:dyDescent="0.35">
      <c r="A568" s="2" t="s">
        <v>532</v>
      </c>
      <c r="B568" s="2" t="s">
        <v>533</v>
      </c>
      <c r="C568" s="2" t="s">
        <v>23</v>
      </c>
      <c r="D568" s="2" t="s">
        <v>460</v>
      </c>
      <c r="E568" s="2" t="s">
        <v>17</v>
      </c>
      <c r="F568" s="2">
        <v>84</v>
      </c>
      <c r="G568" s="2">
        <v>84</v>
      </c>
      <c r="H568" s="2">
        <v>70</v>
      </c>
      <c r="I568" s="2">
        <v>92</v>
      </c>
      <c r="J568" s="2">
        <v>74</v>
      </c>
      <c r="K568" s="2">
        <v>98</v>
      </c>
      <c r="L568">
        <f t="shared" si="24"/>
        <v>502</v>
      </c>
      <c r="M568" s="4">
        <f t="shared" si="25"/>
        <v>83.666666666666671</v>
      </c>
      <c r="N568" t="str" cm="1">
        <f t="array" ref="N568">_xlfn.IFS(M568&gt;=70,"A",M568&gt;=60,"B",M568&gt;=50,"C",M568&gt;=45,"D",M568&gt;=40,"E",TRUE,"F")</f>
        <v>A</v>
      </c>
      <c r="O568">
        <f t="shared" si="26"/>
        <v>2</v>
      </c>
    </row>
    <row r="569" spans="1:15" x14ac:dyDescent="0.35">
      <c r="A569" s="2" t="s">
        <v>535</v>
      </c>
      <c r="B569" s="2" t="s">
        <v>537</v>
      </c>
      <c r="C569" s="2" t="s">
        <v>18</v>
      </c>
      <c r="D569" s="2" t="s">
        <v>460</v>
      </c>
      <c r="E569" s="2" t="s">
        <v>15</v>
      </c>
      <c r="F569" s="2">
        <v>21</v>
      </c>
      <c r="G569" s="2">
        <v>32</v>
      </c>
      <c r="H569" s="2">
        <v>43</v>
      </c>
      <c r="I569" s="2">
        <v>45</v>
      </c>
      <c r="J569" s="2">
        <v>38</v>
      </c>
      <c r="K569" s="2">
        <v>36</v>
      </c>
      <c r="L569">
        <f t="shared" si="24"/>
        <v>215</v>
      </c>
      <c r="M569" s="4">
        <f t="shared" si="25"/>
        <v>35.833333333333336</v>
      </c>
      <c r="N569" t="str" cm="1">
        <f t="array" ref="N569">_xlfn.IFS(M569&gt;=70,"A",M569&gt;=60,"B",M569&gt;=50,"C",M569&gt;=45,"D",M569&gt;=40,"E",TRUE,"F")</f>
        <v>F</v>
      </c>
      <c r="O569">
        <f t="shared" si="26"/>
        <v>38</v>
      </c>
    </row>
    <row r="570" spans="1:15" x14ac:dyDescent="0.35">
      <c r="A570" s="2" t="s">
        <v>535</v>
      </c>
      <c r="B570" s="2" t="s">
        <v>537</v>
      </c>
      <c r="C570" s="2" t="s">
        <v>18</v>
      </c>
      <c r="D570" s="2" t="s">
        <v>460</v>
      </c>
      <c r="E570" s="2" t="s">
        <v>17</v>
      </c>
      <c r="F570" s="2">
        <v>40</v>
      </c>
      <c r="G570" s="2">
        <v>40</v>
      </c>
      <c r="H570" s="2">
        <v>48</v>
      </c>
      <c r="I570" s="2">
        <v>54</v>
      </c>
      <c r="J570" s="2">
        <v>52</v>
      </c>
      <c r="K570" s="2">
        <v>52</v>
      </c>
      <c r="L570">
        <f t="shared" si="24"/>
        <v>286</v>
      </c>
      <c r="M570" s="4">
        <f t="shared" si="25"/>
        <v>47.666666666666664</v>
      </c>
      <c r="N570" t="str" cm="1">
        <f t="array" ref="N570">_xlfn.IFS(M570&gt;=70,"A",M570&gt;=60,"B",M570&gt;=50,"C",M570&gt;=45,"D",M570&gt;=40,"E",TRUE,"F")</f>
        <v>D</v>
      </c>
      <c r="O570">
        <f t="shared" si="26"/>
        <v>35</v>
      </c>
    </row>
    <row r="571" spans="1:15" x14ac:dyDescent="0.35">
      <c r="A571" s="2" t="s">
        <v>535</v>
      </c>
      <c r="B571" s="2" t="s">
        <v>537</v>
      </c>
      <c r="C571" s="2" t="s">
        <v>18</v>
      </c>
      <c r="D571" s="2" t="s">
        <v>460</v>
      </c>
      <c r="E571" s="2" t="s">
        <v>20</v>
      </c>
      <c r="F571" s="2">
        <v>44</v>
      </c>
      <c r="G571" s="2">
        <v>54</v>
      </c>
      <c r="H571" s="2">
        <v>41</v>
      </c>
      <c r="I571" s="2">
        <v>40</v>
      </c>
      <c r="J571" s="2">
        <v>56</v>
      </c>
      <c r="K571" s="2">
        <v>56</v>
      </c>
      <c r="L571">
        <f t="shared" si="24"/>
        <v>291</v>
      </c>
      <c r="M571" s="4">
        <f t="shared" si="25"/>
        <v>48.5</v>
      </c>
      <c r="N571" t="str" cm="1">
        <f t="array" ref="N571">_xlfn.IFS(M571&gt;=70,"A",M571&gt;=60,"B",M571&gt;=50,"C",M571&gt;=45,"D",M571&gt;=40,"E",TRUE,"F")</f>
        <v>D</v>
      </c>
      <c r="O571">
        <f t="shared" si="26"/>
        <v>35</v>
      </c>
    </row>
    <row r="572" spans="1:15" x14ac:dyDescent="0.35">
      <c r="A572" s="2" t="s">
        <v>538</v>
      </c>
      <c r="B572" s="2" t="s">
        <v>539</v>
      </c>
      <c r="C572" s="2" t="s">
        <v>23</v>
      </c>
      <c r="D572" s="2" t="s">
        <v>460</v>
      </c>
      <c r="E572" s="2" t="s">
        <v>20</v>
      </c>
      <c r="F572" s="2">
        <v>73</v>
      </c>
      <c r="G572" s="2">
        <v>79</v>
      </c>
      <c r="H572" s="2">
        <v>55</v>
      </c>
      <c r="I572" s="2">
        <v>88</v>
      </c>
      <c r="J572" s="2">
        <v>83</v>
      </c>
      <c r="K572" s="2">
        <v>76</v>
      </c>
      <c r="L572">
        <f t="shared" si="24"/>
        <v>454</v>
      </c>
      <c r="M572" s="4">
        <f t="shared" si="25"/>
        <v>75.666666666666671</v>
      </c>
      <c r="N572" t="str" cm="1">
        <f t="array" ref="N572">_xlfn.IFS(M572&gt;=70,"A",M572&gt;=60,"B",M572&gt;=50,"C",M572&gt;=45,"D",M572&gt;=40,"E",TRUE,"F")</f>
        <v>A</v>
      </c>
      <c r="O572">
        <f t="shared" si="26"/>
        <v>6</v>
      </c>
    </row>
    <row r="573" spans="1:15" x14ac:dyDescent="0.35">
      <c r="A573" s="2" t="s">
        <v>538</v>
      </c>
      <c r="B573" s="2" t="s">
        <v>539</v>
      </c>
      <c r="C573" s="2" t="s">
        <v>23</v>
      </c>
      <c r="D573" s="2" t="s">
        <v>460</v>
      </c>
      <c r="E573" s="2" t="s">
        <v>15</v>
      </c>
      <c r="F573" s="2">
        <v>66</v>
      </c>
      <c r="G573" s="2">
        <v>69</v>
      </c>
      <c r="H573" s="2">
        <v>52</v>
      </c>
      <c r="I573" s="2">
        <v>93</v>
      </c>
      <c r="J573" s="2">
        <v>93</v>
      </c>
      <c r="K573" s="2">
        <v>73</v>
      </c>
      <c r="L573">
        <f t="shared" si="24"/>
        <v>446</v>
      </c>
      <c r="M573" s="4">
        <f t="shared" si="25"/>
        <v>74.333333333333329</v>
      </c>
      <c r="N573" t="str" cm="1">
        <f t="array" ref="N573">_xlfn.IFS(M573&gt;=70,"A",M573&gt;=60,"B",M573&gt;=50,"C",M573&gt;=45,"D",M573&gt;=40,"E",TRUE,"F")</f>
        <v>A</v>
      </c>
      <c r="O573">
        <f t="shared" si="26"/>
        <v>5</v>
      </c>
    </row>
    <row r="574" spans="1:15" x14ac:dyDescent="0.35">
      <c r="A574" s="2" t="s">
        <v>538</v>
      </c>
      <c r="B574" s="2" t="s">
        <v>539</v>
      </c>
      <c r="C574" s="2" t="s">
        <v>23</v>
      </c>
      <c r="D574" s="2" t="s">
        <v>460</v>
      </c>
      <c r="E574" s="2" t="s">
        <v>17</v>
      </c>
      <c r="F574" s="2">
        <v>72</v>
      </c>
      <c r="G574" s="2"/>
      <c r="H574" s="2">
        <v>72</v>
      </c>
      <c r="I574" s="2">
        <v>78</v>
      </c>
      <c r="J574" s="2">
        <v>84</v>
      </c>
      <c r="K574" s="2">
        <v>74</v>
      </c>
      <c r="L574">
        <f t="shared" si="24"/>
        <v>380</v>
      </c>
      <c r="M574" s="4">
        <f t="shared" si="25"/>
        <v>76</v>
      </c>
      <c r="N574" t="str" cm="1">
        <f t="array" ref="N574">_xlfn.IFS(M574&gt;=70,"A",M574&gt;=60,"B",M574&gt;=50,"C",M574&gt;=45,"D",M574&gt;=40,"E",TRUE,"F")</f>
        <v>A</v>
      </c>
      <c r="O574">
        <f t="shared" si="26"/>
        <v>5</v>
      </c>
    </row>
    <row r="575" spans="1:15" x14ac:dyDescent="0.35">
      <c r="A575" s="2" t="s">
        <v>541</v>
      </c>
      <c r="B575" s="2" t="s">
        <v>542</v>
      </c>
      <c r="C575" s="2" t="s">
        <v>23</v>
      </c>
      <c r="D575" s="2" t="s">
        <v>460</v>
      </c>
      <c r="E575" s="2" t="s">
        <v>15</v>
      </c>
      <c r="F575" s="2">
        <v>36</v>
      </c>
      <c r="G575" s="2">
        <v>45</v>
      </c>
      <c r="H575" s="2">
        <v>38</v>
      </c>
      <c r="I575" s="2">
        <v>48</v>
      </c>
      <c r="J575" s="2">
        <v>31</v>
      </c>
      <c r="K575" s="2">
        <v>49</v>
      </c>
      <c r="L575">
        <f t="shared" si="24"/>
        <v>247</v>
      </c>
      <c r="M575" s="4">
        <f t="shared" si="25"/>
        <v>41.166666666666664</v>
      </c>
      <c r="N575" t="str" cm="1">
        <f t="array" ref="N575">_xlfn.IFS(M575&gt;=70,"A",M575&gt;=60,"B",M575&gt;=50,"C",M575&gt;=45,"D",M575&gt;=40,"E",TRUE,"F")</f>
        <v>E</v>
      </c>
      <c r="O575">
        <f t="shared" si="26"/>
        <v>35</v>
      </c>
    </row>
    <row r="576" spans="1:15" x14ac:dyDescent="0.35">
      <c r="A576" s="2" t="s">
        <v>541</v>
      </c>
      <c r="B576" s="2" t="s">
        <v>542</v>
      </c>
      <c r="C576" s="2" t="s">
        <v>23</v>
      </c>
      <c r="D576" s="2" t="s">
        <v>460</v>
      </c>
      <c r="E576" s="2" t="s">
        <v>17</v>
      </c>
      <c r="F576" s="2">
        <v>44</v>
      </c>
      <c r="G576" s="2">
        <v>47</v>
      </c>
      <c r="H576" s="2">
        <v>41</v>
      </c>
      <c r="I576" s="2">
        <v>40</v>
      </c>
      <c r="J576" s="2">
        <v>46</v>
      </c>
      <c r="K576" s="2">
        <v>40</v>
      </c>
      <c r="L576">
        <f t="shared" si="24"/>
        <v>258</v>
      </c>
      <c r="M576" s="4">
        <f t="shared" si="25"/>
        <v>43</v>
      </c>
      <c r="N576" t="str" cm="1">
        <f t="array" ref="N576">_xlfn.IFS(M576&gt;=70,"A",M576&gt;=60,"B",M576&gt;=50,"C",M576&gt;=45,"D",M576&gt;=40,"E",TRUE,"F")</f>
        <v>E</v>
      </c>
      <c r="O576">
        <f t="shared" si="26"/>
        <v>36</v>
      </c>
    </row>
    <row r="577" spans="1:15" x14ac:dyDescent="0.35">
      <c r="A577" s="2" t="s">
        <v>541</v>
      </c>
      <c r="B577" s="2" t="s">
        <v>542</v>
      </c>
      <c r="C577" s="2" t="s">
        <v>23</v>
      </c>
      <c r="D577" s="2" t="s">
        <v>460</v>
      </c>
      <c r="E577" s="2" t="s">
        <v>20</v>
      </c>
      <c r="F577" s="2">
        <v>37</v>
      </c>
      <c r="G577" s="2">
        <v>41</v>
      </c>
      <c r="H577" s="2">
        <v>44</v>
      </c>
      <c r="I577" s="2">
        <v>55</v>
      </c>
      <c r="J577" s="2">
        <v>52</v>
      </c>
      <c r="K577" s="2">
        <v>43</v>
      </c>
      <c r="L577">
        <f t="shared" si="24"/>
        <v>272</v>
      </c>
      <c r="M577" s="4">
        <f t="shared" si="25"/>
        <v>45.333333333333336</v>
      </c>
      <c r="N577" t="str" cm="1">
        <f t="array" ref="N577">_xlfn.IFS(M577&gt;=70,"A",M577&gt;=60,"B",M577&gt;=50,"C",M577&gt;=45,"D",M577&gt;=40,"E",TRUE,"F")</f>
        <v>D</v>
      </c>
      <c r="O577">
        <f t="shared" si="26"/>
        <v>37</v>
      </c>
    </row>
    <row r="578" spans="1:15" x14ac:dyDescent="0.35">
      <c r="A578" s="2" t="s">
        <v>544</v>
      </c>
      <c r="B578" s="2" t="s">
        <v>545</v>
      </c>
      <c r="C578" s="2" t="s">
        <v>23</v>
      </c>
      <c r="D578" s="2" t="s">
        <v>460</v>
      </c>
      <c r="E578" s="2" t="s">
        <v>20</v>
      </c>
      <c r="F578" s="2">
        <v>65</v>
      </c>
      <c r="G578" s="2">
        <v>66</v>
      </c>
      <c r="H578" s="2">
        <v>77</v>
      </c>
      <c r="I578" s="2">
        <v>89</v>
      </c>
      <c r="J578" s="2">
        <v>73</v>
      </c>
      <c r="K578" s="2">
        <v>84</v>
      </c>
      <c r="L578">
        <f t="shared" ref="L578:L641" si="27">SUM(F578:K578)</f>
        <v>454</v>
      </c>
      <c r="M578" s="4">
        <f t="shared" ref="M578:M641" si="28">AVERAGE(F578:K578)</f>
        <v>75.666666666666671</v>
      </c>
      <c r="N578" t="str" cm="1">
        <f t="array" ref="N578">_xlfn.IFS(M578&gt;=70,"A",M578&gt;=60,"B",M578&gt;=50,"C",M578&gt;=45,"D",M578&gt;=40,"E",TRUE,"F")</f>
        <v>A</v>
      </c>
      <c r="O578">
        <f t="shared" ref="O578:O641" si="29">COUNTIFS($D$2:$D$721,D578,$E$2:$E$721,E578,$M$2:$M$721,"&gt;"&amp;M578)+1</f>
        <v>6</v>
      </c>
    </row>
    <row r="579" spans="1:15" x14ac:dyDescent="0.35">
      <c r="A579" s="2" t="s">
        <v>544</v>
      </c>
      <c r="B579" s="2" t="s">
        <v>545</v>
      </c>
      <c r="C579" s="2" t="s">
        <v>23</v>
      </c>
      <c r="D579" s="2" t="s">
        <v>460</v>
      </c>
      <c r="E579" s="2" t="s">
        <v>15</v>
      </c>
      <c r="F579" s="2">
        <v>55</v>
      </c>
      <c r="G579" s="2">
        <v>61</v>
      </c>
      <c r="H579" s="2">
        <v>59</v>
      </c>
      <c r="I579" s="2">
        <v>63</v>
      </c>
      <c r="J579" s="2">
        <v>85</v>
      </c>
      <c r="K579" s="2">
        <v>83</v>
      </c>
      <c r="L579">
        <f t="shared" si="27"/>
        <v>406</v>
      </c>
      <c r="M579" s="4">
        <f t="shared" si="28"/>
        <v>67.666666666666671</v>
      </c>
      <c r="N579" t="str" cm="1">
        <f t="array" ref="N579">_xlfn.IFS(M579&gt;=70,"A",M579&gt;=60,"B",M579&gt;=50,"C",M579&gt;=45,"D",M579&gt;=40,"E",TRUE,"F")</f>
        <v>B</v>
      </c>
      <c r="O579">
        <f t="shared" si="29"/>
        <v>9</v>
      </c>
    </row>
    <row r="580" spans="1:15" x14ac:dyDescent="0.35">
      <c r="A580" s="2" t="s">
        <v>544</v>
      </c>
      <c r="B580" s="2" t="s">
        <v>545</v>
      </c>
      <c r="C580" s="2" t="s">
        <v>23</v>
      </c>
      <c r="D580" s="2" t="s">
        <v>460</v>
      </c>
      <c r="E580" s="2" t="s">
        <v>17</v>
      </c>
      <c r="F580" s="2">
        <v>59</v>
      </c>
      <c r="G580" s="2">
        <v>69</v>
      </c>
      <c r="H580" s="2">
        <v>84</v>
      </c>
      <c r="I580" s="2">
        <v>59</v>
      </c>
      <c r="J580" s="2">
        <v>76</v>
      </c>
      <c r="K580" s="2">
        <v>89</v>
      </c>
      <c r="L580">
        <f t="shared" si="27"/>
        <v>436</v>
      </c>
      <c r="M580" s="4">
        <f t="shared" si="28"/>
        <v>72.666666666666671</v>
      </c>
      <c r="N580" t="str" cm="1">
        <f t="array" ref="N580">_xlfn.IFS(M580&gt;=70,"A",M580&gt;=60,"B",M580&gt;=50,"C",M580&gt;=45,"D",M580&gt;=40,"E",TRUE,"F")</f>
        <v>A</v>
      </c>
      <c r="O580">
        <f t="shared" si="29"/>
        <v>7</v>
      </c>
    </row>
    <row r="581" spans="1:15" x14ac:dyDescent="0.35">
      <c r="A581" s="2" t="s">
        <v>547</v>
      </c>
      <c r="B581" s="2" t="s">
        <v>548</v>
      </c>
      <c r="C581" s="2" t="s">
        <v>23</v>
      </c>
      <c r="D581" s="2" t="s">
        <v>460</v>
      </c>
      <c r="E581" s="2" t="s">
        <v>20</v>
      </c>
      <c r="F581" s="2">
        <v>58</v>
      </c>
      <c r="G581" s="2">
        <v>67</v>
      </c>
      <c r="H581" s="2">
        <v>61</v>
      </c>
      <c r="I581" s="2">
        <v>64</v>
      </c>
      <c r="J581" s="2">
        <v>77</v>
      </c>
      <c r="K581" s="2">
        <v>69</v>
      </c>
      <c r="L581">
        <f t="shared" si="27"/>
        <v>396</v>
      </c>
      <c r="M581" s="4">
        <f t="shared" si="28"/>
        <v>66</v>
      </c>
      <c r="N581" t="str" cm="1">
        <f t="array" ref="N581">_xlfn.IFS(M581&gt;=70,"A",M581&gt;=60,"B",M581&gt;=50,"C",M581&gt;=45,"D",M581&gt;=40,"E",TRUE,"F")</f>
        <v>B</v>
      </c>
      <c r="O581">
        <f t="shared" si="29"/>
        <v>17</v>
      </c>
    </row>
    <row r="582" spans="1:15" x14ac:dyDescent="0.35">
      <c r="A582" s="2" t="s">
        <v>547</v>
      </c>
      <c r="B582" s="2" t="s">
        <v>548</v>
      </c>
      <c r="C582" s="2" t="s">
        <v>23</v>
      </c>
      <c r="D582" s="2" t="s">
        <v>460</v>
      </c>
      <c r="E582" s="2" t="s">
        <v>15</v>
      </c>
      <c r="F582" s="2">
        <v>46</v>
      </c>
      <c r="G582" s="2">
        <v>60</v>
      </c>
      <c r="H582" s="2">
        <v>61</v>
      </c>
      <c r="I582" s="2">
        <v>58</v>
      </c>
      <c r="J582" s="2">
        <v>59</v>
      </c>
      <c r="K582" s="2">
        <v>69</v>
      </c>
      <c r="L582">
        <f t="shared" si="27"/>
        <v>353</v>
      </c>
      <c r="M582" s="4">
        <f t="shared" si="28"/>
        <v>58.833333333333336</v>
      </c>
      <c r="N582" t="str" cm="1">
        <f t="array" ref="N582">_xlfn.IFS(M582&gt;=70,"A",M582&gt;=60,"B",M582&gt;=50,"C",M582&gt;=45,"D",M582&gt;=40,"E",TRUE,"F")</f>
        <v>C</v>
      </c>
      <c r="O582">
        <f t="shared" si="29"/>
        <v>20</v>
      </c>
    </row>
    <row r="583" spans="1:15" x14ac:dyDescent="0.35">
      <c r="A583" s="2" t="s">
        <v>547</v>
      </c>
      <c r="B583" s="2" t="s">
        <v>548</v>
      </c>
      <c r="C583" s="2" t="s">
        <v>23</v>
      </c>
      <c r="D583" s="2" t="s">
        <v>460</v>
      </c>
      <c r="E583" s="2" t="s">
        <v>17</v>
      </c>
      <c r="F583" s="2">
        <v>60</v>
      </c>
      <c r="G583" s="2">
        <v>53</v>
      </c>
      <c r="H583" s="2">
        <v>54</v>
      </c>
      <c r="I583" s="2">
        <v>66</v>
      </c>
      <c r="J583" s="2">
        <v>53</v>
      </c>
      <c r="K583" s="2">
        <v>59</v>
      </c>
      <c r="L583">
        <f t="shared" si="27"/>
        <v>345</v>
      </c>
      <c r="M583" s="4">
        <f t="shared" si="28"/>
        <v>57.5</v>
      </c>
      <c r="N583" t="str" cm="1">
        <f t="array" ref="N583">_xlfn.IFS(M583&gt;=70,"A",M583&gt;=60,"B",M583&gt;=50,"C",M583&gt;=45,"D",M583&gt;=40,"E",TRUE,"F")</f>
        <v>C</v>
      </c>
      <c r="O583">
        <f t="shared" si="29"/>
        <v>25</v>
      </c>
    </row>
    <row r="584" spans="1:15" x14ac:dyDescent="0.35">
      <c r="A584" s="2" t="s">
        <v>550</v>
      </c>
      <c r="B584" s="2" t="s">
        <v>551</v>
      </c>
      <c r="C584" s="2" t="s">
        <v>18</v>
      </c>
      <c r="D584" s="2" t="s">
        <v>460</v>
      </c>
      <c r="E584" s="2" t="s">
        <v>20</v>
      </c>
      <c r="F584" s="2">
        <v>39</v>
      </c>
      <c r="G584" s="2">
        <v>54</v>
      </c>
      <c r="H584" s="2">
        <v>41</v>
      </c>
      <c r="I584" s="2">
        <v>53</v>
      </c>
      <c r="J584" s="2">
        <v>54</v>
      </c>
      <c r="K584" s="2">
        <v>58</v>
      </c>
      <c r="L584">
        <f t="shared" si="27"/>
        <v>299</v>
      </c>
      <c r="M584" s="4">
        <f t="shared" si="28"/>
        <v>49.833333333333336</v>
      </c>
      <c r="N584" t="str" cm="1">
        <f t="array" ref="N584">_xlfn.IFS(M584&gt;=70,"A",M584&gt;=60,"B",M584&gt;=50,"C",M584&gt;=45,"D",M584&gt;=40,"E",TRUE,"F")</f>
        <v>D</v>
      </c>
      <c r="O584">
        <f t="shared" si="29"/>
        <v>33</v>
      </c>
    </row>
    <row r="585" spans="1:15" x14ac:dyDescent="0.35">
      <c r="A585" s="2" t="s">
        <v>550</v>
      </c>
      <c r="B585" s="2" t="s">
        <v>551</v>
      </c>
      <c r="C585" s="2" t="s">
        <v>18</v>
      </c>
      <c r="D585" s="2" t="s">
        <v>460</v>
      </c>
      <c r="E585" s="2" t="s">
        <v>15</v>
      </c>
      <c r="F585" s="2">
        <v>39</v>
      </c>
      <c r="G585" s="2">
        <v>34</v>
      </c>
      <c r="H585" s="2">
        <v>50</v>
      </c>
      <c r="I585" s="2">
        <v>49</v>
      </c>
      <c r="J585" s="2">
        <v>50</v>
      </c>
      <c r="K585" s="2">
        <v>54</v>
      </c>
      <c r="L585">
        <f t="shared" si="27"/>
        <v>276</v>
      </c>
      <c r="M585" s="4">
        <f t="shared" si="28"/>
        <v>46</v>
      </c>
      <c r="N585" t="str" cm="1">
        <f t="array" ref="N585">_xlfn.IFS(M585&gt;=70,"A",M585&gt;=60,"B",M585&gt;=50,"C",M585&gt;=45,"D",M585&gt;=40,"E",TRUE,"F")</f>
        <v>D</v>
      </c>
      <c r="O585">
        <f t="shared" si="29"/>
        <v>31</v>
      </c>
    </row>
    <row r="586" spans="1:15" x14ac:dyDescent="0.35">
      <c r="A586" s="2" t="s">
        <v>550</v>
      </c>
      <c r="B586" s="2" t="s">
        <v>551</v>
      </c>
      <c r="C586" s="2" t="s">
        <v>18</v>
      </c>
      <c r="D586" s="2" t="s">
        <v>460</v>
      </c>
      <c r="E586" s="2" t="s">
        <v>17</v>
      </c>
      <c r="F586" s="2">
        <v>37</v>
      </c>
      <c r="G586" s="2">
        <v>52</v>
      </c>
      <c r="H586" s="2">
        <v>46</v>
      </c>
      <c r="I586" s="2">
        <v>70</v>
      </c>
      <c r="J586" s="2">
        <v>48</v>
      </c>
      <c r="K586" s="2">
        <v>57</v>
      </c>
      <c r="L586">
        <f t="shared" si="27"/>
        <v>310</v>
      </c>
      <c r="M586" s="4">
        <f t="shared" si="28"/>
        <v>51.666666666666664</v>
      </c>
      <c r="N586" t="str" cm="1">
        <f t="array" ref="N586">_xlfn.IFS(M586&gt;=70,"A",M586&gt;=60,"B",M586&gt;=50,"C",M586&gt;=45,"D",M586&gt;=40,"E",TRUE,"F")</f>
        <v>C</v>
      </c>
      <c r="O586">
        <f t="shared" si="29"/>
        <v>32</v>
      </c>
    </row>
    <row r="587" spans="1:15" x14ac:dyDescent="0.35">
      <c r="A587" s="2" t="s">
        <v>552</v>
      </c>
      <c r="B587" s="2" t="s">
        <v>553</v>
      </c>
      <c r="C587" s="2" t="s">
        <v>18</v>
      </c>
      <c r="D587" s="2" t="s">
        <v>460</v>
      </c>
      <c r="E587" s="2" t="s">
        <v>20</v>
      </c>
      <c r="F587" s="2">
        <v>55</v>
      </c>
      <c r="G587" s="2">
        <v>65</v>
      </c>
      <c r="H587" s="2">
        <v>61</v>
      </c>
      <c r="I587" s="2">
        <v>75</v>
      </c>
      <c r="J587" s="2">
        <v>63</v>
      </c>
      <c r="K587" s="2">
        <v>76</v>
      </c>
      <c r="L587">
        <f t="shared" si="27"/>
        <v>395</v>
      </c>
      <c r="M587" s="4">
        <f t="shared" si="28"/>
        <v>65.833333333333329</v>
      </c>
      <c r="N587" t="str" cm="1">
        <f t="array" ref="N587">_xlfn.IFS(M587&gt;=70,"A",M587&gt;=60,"B",M587&gt;=50,"C",M587&gt;=45,"D",M587&gt;=40,"E",TRUE,"F")</f>
        <v>B</v>
      </c>
      <c r="O587">
        <f t="shared" si="29"/>
        <v>18</v>
      </c>
    </row>
    <row r="588" spans="1:15" x14ac:dyDescent="0.35">
      <c r="A588" s="2" t="s">
        <v>552</v>
      </c>
      <c r="B588" s="2" t="s">
        <v>553</v>
      </c>
      <c r="C588" s="2" t="s">
        <v>18</v>
      </c>
      <c r="D588" s="2" t="s">
        <v>460</v>
      </c>
      <c r="E588" s="2" t="s">
        <v>15</v>
      </c>
      <c r="F588" s="2">
        <v>24</v>
      </c>
      <c r="G588" s="2">
        <v>47</v>
      </c>
      <c r="H588" s="2">
        <v>42</v>
      </c>
      <c r="I588" s="2">
        <v>54</v>
      </c>
      <c r="J588" s="2">
        <v>41</v>
      </c>
      <c r="K588" s="2">
        <v>48</v>
      </c>
      <c r="L588">
        <f t="shared" si="27"/>
        <v>256</v>
      </c>
      <c r="M588" s="4">
        <f t="shared" si="28"/>
        <v>42.666666666666664</v>
      </c>
      <c r="N588" t="str" cm="1">
        <f t="array" ref="N588">_xlfn.IFS(M588&gt;=70,"A",M588&gt;=60,"B",M588&gt;=50,"C",M588&gt;=45,"D",M588&gt;=40,"E",TRUE,"F")</f>
        <v>E</v>
      </c>
      <c r="O588">
        <f t="shared" si="29"/>
        <v>34</v>
      </c>
    </row>
    <row r="589" spans="1:15" x14ac:dyDescent="0.35">
      <c r="A589" s="2" t="s">
        <v>552</v>
      </c>
      <c r="B589" s="2" t="s">
        <v>553</v>
      </c>
      <c r="C589" s="2" t="s">
        <v>18</v>
      </c>
      <c r="D589" s="2" t="s">
        <v>460</v>
      </c>
      <c r="E589" s="2" t="s">
        <v>17</v>
      </c>
      <c r="F589" s="2">
        <v>38</v>
      </c>
      <c r="G589" s="2">
        <v>45</v>
      </c>
      <c r="H589" s="2">
        <v>53</v>
      </c>
      <c r="I589" s="2">
        <v>58</v>
      </c>
      <c r="J589" s="2">
        <v>54</v>
      </c>
      <c r="K589" s="2">
        <v>58</v>
      </c>
      <c r="L589">
        <f t="shared" si="27"/>
        <v>306</v>
      </c>
      <c r="M589" s="4">
        <f t="shared" si="28"/>
        <v>51</v>
      </c>
      <c r="N589" t="str" cm="1">
        <f t="array" ref="N589">_xlfn.IFS(M589&gt;=70,"A",M589&gt;=60,"B",M589&gt;=50,"C",M589&gt;=45,"D",M589&gt;=40,"E",TRUE,"F")</f>
        <v>C</v>
      </c>
      <c r="O589">
        <f t="shared" si="29"/>
        <v>33</v>
      </c>
    </row>
    <row r="590" spans="1:15" x14ac:dyDescent="0.35">
      <c r="A590" s="2" t="s">
        <v>555</v>
      </c>
      <c r="B590" s="2" t="s">
        <v>556</v>
      </c>
      <c r="C590" s="2" t="s">
        <v>23</v>
      </c>
      <c r="D590" s="2" t="s">
        <v>460</v>
      </c>
      <c r="E590" s="2" t="s">
        <v>20</v>
      </c>
      <c r="F590" s="2">
        <v>46</v>
      </c>
      <c r="G590" s="2">
        <v>70</v>
      </c>
      <c r="H590" s="2">
        <v>57</v>
      </c>
      <c r="I590" s="2">
        <v>66</v>
      </c>
      <c r="J590" s="2">
        <v>69</v>
      </c>
      <c r="K590" s="2">
        <v>62</v>
      </c>
      <c r="L590">
        <f t="shared" si="27"/>
        <v>370</v>
      </c>
      <c r="M590" s="4">
        <f t="shared" si="28"/>
        <v>61.666666666666664</v>
      </c>
      <c r="N590" t="str" cm="1">
        <f t="array" ref="N590">_xlfn.IFS(M590&gt;=70,"A",M590&gt;=60,"B",M590&gt;=50,"C",M590&gt;=45,"D",M590&gt;=40,"E",TRUE,"F")</f>
        <v>B</v>
      </c>
      <c r="O590">
        <f t="shared" si="29"/>
        <v>25</v>
      </c>
    </row>
    <row r="591" spans="1:15" x14ac:dyDescent="0.35">
      <c r="A591" s="2" t="s">
        <v>555</v>
      </c>
      <c r="B591" s="2" t="s">
        <v>556</v>
      </c>
      <c r="C591" s="2" t="s">
        <v>23</v>
      </c>
      <c r="D591" s="2" t="s">
        <v>460</v>
      </c>
      <c r="E591" s="2" t="s">
        <v>15</v>
      </c>
      <c r="F591" s="2">
        <v>46</v>
      </c>
      <c r="G591" s="2">
        <v>58</v>
      </c>
      <c r="H591" s="2">
        <v>54</v>
      </c>
      <c r="I591" s="2">
        <v>63</v>
      </c>
      <c r="J591" s="2">
        <v>59</v>
      </c>
      <c r="K591" s="2">
        <v>73</v>
      </c>
      <c r="L591">
        <f t="shared" si="27"/>
        <v>353</v>
      </c>
      <c r="M591" s="4">
        <f t="shared" si="28"/>
        <v>58.833333333333336</v>
      </c>
      <c r="N591" t="str" cm="1">
        <f t="array" ref="N591">_xlfn.IFS(M591&gt;=70,"A",M591&gt;=60,"B",M591&gt;=50,"C",M591&gt;=45,"D",M591&gt;=40,"E",TRUE,"F")</f>
        <v>C</v>
      </c>
      <c r="O591">
        <f t="shared" si="29"/>
        <v>20</v>
      </c>
    </row>
    <row r="592" spans="1:15" x14ac:dyDescent="0.35">
      <c r="A592" s="2" t="s">
        <v>555</v>
      </c>
      <c r="B592" s="2" t="s">
        <v>556</v>
      </c>
      <c r="C592" s="2" t="s">
        <v>23</v>
      </c>
      <c r="D592" s="2" t="s">
        <v>460</v>
      </c>
      <c r="E592" s="2" t="s">
        <v>17</v>
      </c>
      <c r="F592" s="2">
        <v>38</v>
      </c>
      <c r="G592" s="2">
        <v>64</v>
      </c>
      <c r="H592" s="2">
        <v>61</v>
      </c>
      <c r="I592" s="2">
        <v>66</v>
      </c>
      <c r="J592" s="2">
        <v>74</v>
      </c>
      <c r="K592" s="2">
        <v>73</v>
      </c>
      <c r="L592">
        <f t="shared" si="27"/>
        <v>376</v>
      </c>
      <c r="M592" s="4">
        <f t="shared" si="28"/>
        <v>62.666666666666664</v>
      </c>
      <c r="N592" t="str" cm="1">
        <f t="array" ref="N592">_xlfn.IFS(M592&gt;=70,"A",M592&gt;=60,"B",M592&gt;=50,"C",M592&gt;=45,"D",M592&gt;=40,"E",TRUE,"F")</f>
        <v>B</v>
      </c>
      <c r="O592">
        <f t="shared" si="29"/>
        <v>16</v>
      </c>
    </row>
    <row r="593" spans="1:15" x14ac:dyDescent="0.35">
      <c r="A593" s="2" t="s">
        <v>558</v>
      </c>
      <c r="B593" s="2" t="s">
        <v>560</v>
      </c>
      <c r="C593" s="2" t="s">
        <v>23</v>
      </c>
      <c r="D593" s="2" t="s">
        <v>460</v>
      </c>
      <c r="E593" s="2" t="s">
        <v>20</v>
      </c>
      <c r="F593" s="2">
        <v>63</v>
      </c>
      <c r="G593" s="2">
        <v>57</v>
      </c>
      <c r="H593" s="2">
        <v>56</v>
      </c>
      <c r="I593" s="2">
        <v>61</v>
      </c>
      <c r="J593" s="2">
        <v>64</v>
      </c>
      <c r="K593" s="2">
        <v>52</v>
      </c>
      <c r="L593">
        <f t="shared" si="27"/>
        <v>353</v>
      </c>
      <c r="M593" s="4">
        <f t="shared" si="28"/>
        <v>58.833333333333336</v>
      </c>
      <c r="N593" t="str" cm="1">
        <f t="array" ref="N593">_xlfn.IFS(M593&gt;=70,"A",M593&gt;=60,"B",M593&gt;=50,"C",M593&gt;=45,"D",M593&gt;=40,"E",TRUE,"F")</f>
        <v>C</v>
      </c>
      <c r="O593">
        <f t="shared" si="29"/>
        <v>26</v>
      </c>
    </row>
    <row r="594" spans="1:15" x14ac:dyDescent="0.35">
      <c r="A594" s="2" t="s">
        <v>558</v>
      </c>
      <c r="B594" s="2" t="s">
        <v>560</v>
      </c>
      <c r="C594" s="2" t="s">
        <v>23</v>
      </c>
      <c r="D594" s="2" t="s">
        <v>460</v>
      </c>
      <c r="E594" s="2" t="s">
        <v>15</v>
      </c>
      <c r="F594" s="2">
        <v>32</v>
      </c>
      <c r="G594" s="2">
        <v>49</v>
      </c>
      <c r="H594" s="2">
        <v>47</v>
      </c>
      <c r="I594" s="2">
        <v>47</v>
      </c>
      <c r="J594" s="2">
        <v>45</v>
      </c>
      <c r="K594" s="2">
        <v>54</v>
      </c>
      <c r="L594">
        <f t="shared" si="27"/>
        <v>274</v>
      </c>
      <c r="M594" s="4">
        <f t="shared" si="28"/>
        <v>45.666666666666664</v>
      </c>
      <c r="N594" t="str" cm="1">
        <f t="array" ref="N594">_xlfn.IFS(M594&gt;=70,"A",M594&gt;=60,"B",M594&gt;=50,"C",M594&gt;=45,"D",M594&gt;=40,"E",TRUE,"F")</f>
        <v>D</v>
      </c>
      <c r="O594">
        <f t="shared" si="29"/>
        <v>32</v>
      </c>
    </row>
    <row r="595" spans="1:15" x14ac:dyDescent="0.35">
      <c r="A595" s="2" t="s">
        <v>558</v>
      </c>
      <c r="B595" s="2" t="s">
        <v>560</v>
      </c>
      <c r="C595" s="2" t="s">
        <v>23</v>
      </c>
      <c r="D595" s="2" t="s">
        <v>460</v>
      </c>
      <c r="E595" s="2" t="s">
        <v>17</v>
      </c>
      <c r="F595" s="2">
        <v>44</v>
      </c>
      <c r="G595" s="2">
        <v>52</v>
      </c>
      <c r="H595" s="2">
        <v>63</v>
      </c>
      <c r="I595" s="2">
        <v>60</v>
      </c>
      <c r="J595" s="2">
        <v>66</v>
      </c>
      <c r="K595" s="2">
        <v>54</v>
      </c>
      <c r="L595">
        <f t="shared" si="27"/>
        <v>339</v>
      </c>
      <c r="M595" s="4">
        <f t="shared" si="28"/>
        <v>56.5</v>
      </c>
      <c r="N595" t="str" cm="1">
        <f t="array" ref="N595">_xlfn.IFS(M595&gt;=70,"A",M595&gt;=60,"B",M595&gt;=50,"C",M595&gt;=45,"D",M595&gt;=40,"E",TRUE,"F")</f>
        <v>C</v>
      </c>
      <c r="O595">
        <f t="shared" si="29"/>
        <v>27</v>
      </c>
    </row>
    <row r="596" spans="1:15" x14ac:dyDescent="0.35">
      <c r="A596" s="2" t="s">
        <v>561</v>
      </c>
      <c r="B596" s="2" t="s">
        <v>562</v>
      </c>
      <c r="C596" s="2" t="s">
        <v>23</v>
      </c>
      <c r="D596" s="2" t="s">
        <v>460</v>
      </c>
      <c r="E596" s="2" t="s">
        <v>20</v>
      </c>
      <c r="F596" s="2">
        <v>29</v>
      </c>
      <c r="G596" s="2">
        <v>48</v>
      </c>
      <c r="H596" s="2">
        <v>53</v>
      </c>
      <c r="I596" s="2">
        <v>49</v>
      </c>
      <c r="J596" s="2">
        <v>49</v>
      </c>
      <c r="K596" s="2">
        <v>57</v>
      </c>
      <c r="L596">
        <f t="shared" si="27"/>
        <v>285</v>
      </c>
      <c r="M596" s="4">
        <f t="shared" si="28"/>
        <v>47.5</v>
      </c>
      <c r="N596" t="str" cm="1">
        <f t="array" ref="N596">_xlfn.IFS(M596&gt;=70,"A",M596&gt;=60,"B",M596&gt;=50,"C",M596&gt;=45,"D",M596&gt;=40,"E",TRUE,"F")</f>
        <v>D</v>
      </c>
      <c r="O596">
        <f t="shared" si="29"/>
        <v>36</v>
      </c>
    </row>
    <row r="597" spans="1:15" x14ac:dyDescent="0.35">
      <c r="A597" s="2" t="s">
        <v>561</v>
      </c>
      <c r="B597" s="2" t="s">
        <v>562</v>
      </c>
      <c r="C597" s="2" t="s">
        <v>23</v>
      </c>
      <c r="D597" s="2" t="s">
        <v>460</v>
      </c>
      <c r="E597" s="2" t="s">
        <v>15</v>
      </c>
      <c r="F597" s="2">
        <v>32</v>
      </c>
      <c r="G597" s="2">
        <v>42</v>
      </c>
      <c r="H597" s="2">
        <v>46</v>
      </c>
      <c r="I597" s="2">
        <v>44</v>
      </c>
      <c r="J597" s="2">
        <v>37</v>
      </c>
      <c r="K597" s="2">
        <v>34</v>
      </c>
      <c r="L597">
        <f t="shared" si="27"/>
        <v>235</v>
      </c>
      <c r="M597" s="4">
        <f t="shared" si="28"/>
        <v>39.166666666666664</v>
      </c>
      <c r="N597" t="str" cm="1">
        <f t="array" ref="N597">_xlfn.IFS(M597&gt;=70,"A",M597&gt;=60,"B",M597&gt;=50,"C",M597&gt;=45,"D",M597&gt;=40,"E",TRUE,"F")</f>
        <v>F</v>
      </c>
      <c r="O597">
        <f t="shared" si="29"/>
        <v>36</v>
      </c>
    </row>
    <row r="598" spans="1:15" x14ac:dyDescent="0.35">
      <c r="A598" s="2" t="s">
        <v>561</v>
      </c>
      <c r="B598" s="2" t="s">
        <v>562</v>
      </c>
      <c r="C598" s="2" t="s">
        <v>23</v>
      </c>
      <c r="D598" s="2" t="s">
        <v>460</v>
      </c>
      <c r="E598" s="2" t="s">
        <v>17</v>
      </c>
      <c r="F598" s="2">
        <v>39</v>
      </c>
      <c r="G598" s="2">
        <v>30</v>
      </c>
      <c r="H598" s="2">
        <v>40</v>
      </c>
      <c r="I598" s="2">
        <v>49</v>
      </c>
      <c r="J598" s="2">
        <v>47</v>
      </c>
      <c r="K598" s="2">
        <v>47</v>
      </c>
      <c r="L598">
        <f t="shared" si="27"/>
        <v>252</v>
      </c>
      <c r="M598" s="4">
        <f t="shared" si="28"/>
        <v>42</v>
      </c>
      <c r="N598" t="str" cm="1">
        <f t="array" ref="N598">_xlfn.IFS(M598&gt;=70,"A",M598&gt;=60,"B",M598&gt;=50,"C",M598&gt;=45,"D",M598&gt;=40,"E",TRUE,"F")</f>
        <v>E</v>
      </c>
      <c r="O598">
        <f t="shared" si="29"/>
        <v>38</v>
      </c>
    </row>
    <row r="599" spans="1:15" x14ac:dyDescent="0.35">
      <c r="A599" s="2" t="s">
        <v>564</v>
      </c>
      <c r="B599" s="2" t="s">
        <v>565</v>
      </c>
      <c r="C599" s="2" t="s">
        <v>18</v>
      </c>
      <c r="D599" s="2" t="s">
        <v>460</v>
      </c>
      <c r="E599" s="2" t="s">
        <v>20</v>
      </c>
      <c r="F599" s="2">
        <v>66</v>
      </c>
      <c r="G599" s="2">
        <v>86</v>
      </c>
      <c r="H599" s="2">
        <v>76</v>
      </c>
      <c r="I599" s="2">
        <v>92</v>
      </c>
      <c r="J599" s="2">
        <v>95</v>
      </c>
      <c r="K599" s="2">
        <v>75</v>
      </c>
      <c r="L599">
        <f t="shared" si="27"/>
        <v>490</v>
      </c>
      <c r="M599" s="4">
        <f t="shared" si="28"/>
        <v>81.666666666666671</v>
      </c>
      <c r="N599" t="str" cm="1">
        <f t="array" ref="N599">_xlfn.IFS(M599&gt;=70,"A",M599&gt;=60,"B",M599&gt;=50,"C",M599&gt;=45,"D",M599&gt;=40,"E",TRUE,"F")</f>
        <v>A</v>
      </c>
      <c r="O599">
        <f t="shared" si="29"/>
        <v>4</v>
      </c>
    </row>
    <row r="600" spans="1:15" x14ac:dyDescent="0.35">
      <c r="A600" s="2" t="s">
        <v>564</v>
      </c>
      <c r="B600" s="2" t="s">
        <v>565</v>
      </c>
      <c r="C600" s="2" t="s">
        <v>18</v>
      </c>
      <c r="D600" s="2" t="s">
        <v>460</v>
      </c>
      <c r="E600" s="2" t="s">
        <v>15</v>
      </c>
      <c r="F600" s="2">
        <v>58</v>
      </c>
      <c r="G600" s="2">
        <v>66</v>
      </c>
      <c r="H600" s="2">
        <v>51</v>
      </c>
      <c r="I600" s="2">
        <v>59</v>
      </c>
      <c r="J600" s="2">
        <v>66</v>
      </c>
      <c r="K600" s="2">
        <v>73</v>
      </c>
      <c r="L600">
        <f t="shared" si="27"/>
        <v>373</v>
      </c>
      <c r="M600" s="4">
        <f t="shared" si="28"/>
        <v>62.166666666666664</v>
      </c>
      <c r="N600" t="str" cm="1">
        <f t="array" ref="N600">_xlfn.IFS(M600&gt;=70,"A",M600&gt;=60,"B",M600&gt;=50,"C",M600&gt;=45,"D",M600&gt;=40,"E",TRUE,"F")</f>
        <v>B</v>
      </c>
      <c r="O600">
        <f t="shared" si="29"/>
        <v>13</v>
      </c>
    </row>
    <row r="601" spans="1:15" x14ac:dyDescent="0.35">
      <c r="A601" s="2" t="s">
        <v>564</v>
      </c>
      <c r="B601" s="2" t="s">
        <v>565</v>
      </c>
      <c r="C601" s="2" t="s">
        <v>18</v>
      </c>
      <c r="D601" s="2" t="s">
        <v>460</v>
      </c>
      <c r="E601" s="2" t="s">
        <v>17</v>
      </c>
      <c r="F601" s="2">
        <v>73</v>
      </c>
      <c r="G601" s="2">
        <v>65</v>
      </c>
      <c r="H601" s="2">
        <v>73</v>
      </c>
      <c r="I601" s="2">
        <v>81</v>
      </c>
      <c r="J601" s="2">
        <v>75</v>
      </c>
      <c r="K601" s="2">
        <v>73</v>
      </c>
      <c r="L601">
        <f t="shared" si="27"/>
        <v>440</v>
      </c>
      <c r="M601" s="4">
        <f t="shared" si="28"/>
        <v>73.333333333333329</v>
      </c>
      <c r="N601" t="str" cm="1">
        <f t="array" ref="N601">_xlfn.IFS(M601&gt;=70,"A",M601&gt;=60,"B",M601&gt;=50,"C",M601&gt;=45,"D",M601&gt;=40,"E",TRUE,"F")</f>
        <v>A</v>
      </c>
      <c r="O601">
        <f t="shared" si="29"/>
        <v>6</v>
      </c>
    </row>
    <row r="602" spans="1:15" x14ac:dyDescent="0.35">
      <c r="A602" s="2" t="s">
        <v>566</v>
      </c>
      <c r="B602" s="2" t="s">
        <v>567</v>
      </c>
      <c r="C602" s="2" t="s">
        <v>23</v>
      </c>
      <c r="D602" s="2" t="s">
        <v>568</v>
      </c>
      <c r="E602" s="2" t="s">
        <v>15</v>
      </c>
      <c r="F602" s="2">
        <v>35</v>
      </c>
      <c r="G602" s="2">
        <v>44</v>
      </c>
      <c r="H602" s="2">
        <v>35</v>
      </c>
      <c r="I602" s="2">
        <v>42</v>
      </c>
      <c r="J602" s="2">
        <v>59</v>
      </c>
      <c r="K602" s="2">
        <v>46</v>
      </c>
      <c r="L602">
        <f t="shared" si="27"/>
        <v>261</v>
      </c>
      <c r="M602" s="4">
        <f t="shared" si="28"/>
        <v>43.5</v>
      </c>
      <c r="N602" t="str" cm="1">
        <f t="array" ref="N602">_xlfn.IFS(M602&gt;=70,"A",M602&gt;=60,"B",M602&gt;=50,"C",M602&gt;=45,"D",M602&gt;=40,"E",TRUE,"F")</f>
        <v>E</v>
      </c>
      <c r="O602">
        <f t="shared" si="29"/>
        <v>37</v>
      </c>
    </row>
    <row r="603" spans="1:15" x14ac:dyDescent="0.35">
      <c r="A603" s="2" t="s">
        <v>566</v>
      </c>
      <c r="B603" s="2" t="s">
        <v>567</v>
      </c>
      <c r="C603" s="2" t="s">
        <v>23</v>
      </c>
      <c r="D603" s="2" t="s">
        <v>568</v>
      </c>
      <c r="E603" s="2" t="s">
        <v>17</v>
      </c>
      <c r="F603" s="2">
        <v>42</v>
      </c>
      <c r="G603" s="2">
        <v>33</v>
      </c>
      <c r="H603" s="2">
        <v>40</v>
      </c>
      <c r="I603" s="2">
        <v>44</v>
      </c>
      <c r="J603" s="2">
        <v>45</v>
      </c>
      <c r="K603" s="2">
        <v>52</v>
      </c>
      <c r="L603">
        <f t="shared" si="27"/>
        <v>256</v>
      </c>
      <c r="M603" s="4">
        <f t="shared" si="28"/>
        <v>42.666666666666664</v>
      </c>
      <c r="N603" t="str" cm="1">
        <f t="array" ref="N603">_xlfn.IFS(M603&gt;=70,"A",M603&gt;=60,"B",M603&gt;=50,"C",M603&gt;=45,"D",M603&gt;=40,"E",TRUE,"F")</f>
        <v>E</v>
      </c>
      <c r="O603">
        <f t="shared" si="29"/>
        <v>37</v>
      </c>
    </row>
    <row r="604" spans="1:15" x14ac:dyDescent="0.35">
      <c r="A604" s="2" t="s">
        <v>566</v>
      </c>
      <c r="B604" s="2" t="s">
        <v>567</v>
      </c>
      <c r="C604" s="2" t="s">
        <v>23</v>
      </c>
      <c r="D604" s="2" t="s">
        <v>568</v>
      </c>
      <c r="E604" s="2" t="s">
        <v>20</v>
      </c>
      <c r="F604" s="2">
        <v>42</v>
      </c>
      <c r="G604" s="2">
        <v>39</v>
      </c>
      <c r="H604" s="2">
        <v>43</v>
      </c>
      <c r="I604" s="2">
        <v>57</v>
      </c>
      <c r="J604" s="2">
        <v>45</v>
      </c>
      <c r="K604" s="2">
        <v>69</v>
      </c>
      <c r="L604">
        <f t="shared" si="27"/>
        <v>295</v>
      </c>
      <c r="M604" s="4">
        <f t="shared" si="28"/>
        <v>49.166666666666664</v>
      </c>
      <c r="N604" t="str" cm="1">
        <f t="array" ref="N604">_xlfn.IFS(M604&gt;=70,"A",M604&gt;=60,"B",M604&gt;=50,"C",M604&gt;=45,"D",M604&gt;=40,"E",TRUE,"F")</f>
        <v>D</v>
      </c>
      <c r="O604">
        <f t="shared" si="29"/>
        <v>37</v>
      </c>
    </row>
    <row r="605" spans="1:15" x14ac:dyDescent="0.35">
      <c r="A605" s="2" t="s">
        <v>570</v>
      </c>
      <c r="B605" s="2" t="s">
        <v>571</v>
      </c>
      <c r="C605" s="2" t="s">
        <v>18</v>
      </c>
      <c r="D605" s="2" t="s">
        <v>568</v>
      </c>
      <c r="E605" s="2" t="s">
        <v>15</v>
      </c>
      <c r="F605" s="2">
        <v>68</v>
      </c>
      <c r="G605" s="2">
        <v>61</v>
      </c>
      <c r="H605" s="2">
        <v>47</v>
      </c>
      <c r="I605" s="2">
        <v>52</v>
      </c>
      <c r="J605" s="2">
        <v>63</v>
      </c>
      <c r="K605" s="2">
        <v>65</v>
      </c>
      <c r="L605">
        <f t="shared" si="27"/>
        <v>356</v>
      </c>
      <c r="M605" s="4">
        <f t="shared" si="28"/>
        <v>59.333333333333336</v>
      </c>
      <c r="N605" t="str" cm="1">
        <f t="array" ref="N605">_xlfn.IFS(M605&gt;=70,"A",M605&gt;=60,"B",M605&gt;=50,"C",M605&gt;=45,"D",M605&gt;=40,"E",TRUE,"F")</f>
        <v>C</v>
      </c>
      <c r="O605">
        <f t="shared" si="29"/>
        <v>19</v>
      </c>
    </row>
    <row r="606" spans="1:15" x14ac:dyDescent="0.35">
      <c r="A606" s="2" t="s">
        <v>570</v>
      </c>
      <c r="B606" s="2" t="s">
        <v>571</v>
      </c>
      <c r="C606" s="2" t="s">
        <v>18</v>
      </c>
      <c r="D606" s="2" t="s">
        <v>568</v>
      </c>
      <c r="E606" s="2" t="s">
        <v>17</v>
      </c>
      <c r="F606" s="2">
        <v>58</v>
      </c>
      <c r="G606" s="2">
        <v>83</v>
      </c>
      <c r="H606" s="2">
        <v>76</v>
      </c>
      <c r="I606" s="2">
        <v>80</v>
      </c>
      <c r="J606" s="2">
        <v>70</v>
      </c>
      <c r="K606" s="2">
        <v>83</v>
      </c>
      <c r="L606">
        <f t="shared" si="27"/>
        <v>450</v>
      </c>
      <c r="M606" s="4">
        <f t="shared" si="28"/>
        <v>75</v>
      </c>
      <c r="N606" t="str" cm="1">
        <f t="array" ref="N606">_xlfn.IFS(M606&gt;=70,"A",M606&gt;=60,"B",M606&gt;=50,"C",M606&gt;=45,"D",M606&gt;=40,"E",TRUE,"F")</f>
        <v>A</v>
      </c>
      <c r="O606">
        <f t="shared" si="29"/>
        <v>9</v>
      </c>
    </row>
    <row r="607" spans="1:15" x14ac:dyDescent="0.35">
      <c r="A607" s="2" t="s">
        <v>570</v>
      </c>
      <c r="B607" s="2" t="s">
        <v>571</v>
      </c>
      <c r="C607" s="2" t="s">
        <v>18</v>
      </c>
      <c r="D607" s="2" t="s">
        <v>568</v>
      </c>
      <c r="E607" s="2" t="s">
        <v>20</v>
      </c>
      <c r="F607" s="2">
        <v>71</v>
      </c>
      <c r="G607" s="2">
        <v>78</v>
      </c>
      <c r="H607" s="2">
        <v>78</v>
      </c>
      <c r="I607" s="2">
        <v>98</v>
      </c>
      <c r="J607" s="2">
        <v>71</v>
      </c>
      <c r="K607" s="2">
        <v>82</v>
      </c>
      <c r="L607">
        <f t="shared" si="27"/>
        <v>478</v>
      </c>
      <c r="M607" s="4">
        <f t="shared" si="28"/>
        <v>79.666666666666671</v>
      </c>
      <c r="N607" t="str" cm="1">
        <f t="array" ref="N607">_xlfn.IFS(M607&gt;=70,"A",M607&gt;=60,"B",M607&gt;=50,"C",M607&gt;=45,"D",M607&gt;=40,"E",TRUE,"F")</f>
        <v>A</v>
      </c>
      <c r="O607">
        <f t="shared" si="29"/>
        <v>8</v>
      </c>
    </row>
    <row r="608" spans="1:15" x14ac:dyDescent="0.35">
      <c r="A608" s="2" t="s">
        <v>573</v>
      </c>
      <c r="B608" s="2" t="s">
        <v>574</v>
      </c>
      <c r="C608" s="2" t="s">
        <v>18</v>
      </c>
      <c r="D608" s="2" t="s">
        <v>568</v>
      </c>
      <c r="E608" s="2" t="s">
        <v>15</v>
      </c>
      <c r="F608" s="2">
        <v>36</v>
      </c>
      <c r="G608" s="2">
        <v>59</v>
      </c>
      <c r="H608" s="2">
        <v>54</v>
      </c>
      <c r="I608" s="2">
        <v>73</v>
      </c>
      <c r="J608" s="2">
        <v>63</v>
      </c>
      <c r="K608" s="2">
        <v>51</v>
      </c>
      <c r="L608">
        <f t="shared" si="27"/>
        <v>336</v>
      </c>
      <c r="M608" s="4">
        <f t="shared" si="28"/>
        <v>56</v>
      </c>
      <c r="N608" t="str" cm="1">
        <f t="array" ref="N608">_xlfn.IFS(M608&gt;=70,"A",M608&gt;=60,"B",M608&gt;=50,"C",M608&gt;=45,"D",M608&gt;=40,"E",TRUE,"F")</f>
        <v>C</v>
      </c>
      <c r="O608">
        <f t="shared" si="29"/>
        <v>29</v>
      </c>
    </row>
    <row r="609" spans="1:15" x14ac:dyDescent="0.35">
      <c r="A609" s="2" t="s">
        <v>573</v>
      </c>
      <c r="B609" s="2" t="s">
        <v>574</v>
      </c>
      <c r="C609" s="2" t="s">
        <v>18</v>
      </c>
      <c r="D609" s="2" t="s">
        <v>568</v>
      </c>
      <c r="E609" s="2" t="s">
        <v>17</v>
      </c>
      <c r="F609" s="2">
        <v>43</v>
      </c>
      <c r="G609" s="2"/>
      <c r="H609" s="2">
        <v>39</v>
      </c>
      <c r="I609" s="2">
        <v>67</v>
      </c>
      <c r="J609" s="2">
        <v>55</v>
      </c>
      <c r="K609" s="2">
        <v>62</v>
      </c>
      <c r="L609">
        <f t="shared" si="27"/>
        <v>266</v>
      </c>
      <c r="M609" s="4">
        <f t="shared" si="28"/>
        <v>53.2</v>
      </c>
      <c r="N609" t="str" cm="1">
        <f t="array" ref="N609">_xlfn.IFS(M609&gt;=70,"A",M609&gt;=60,"B",M609&gt;=50,"C",M609&gt;=45,"D",M609&gt;=40,"E",TRUE,"F")</f>
        <v>C</v>
      </c>
      <c r="O609">
        <f t="shared" si="29"/>
        <v>36</v>
      </c>
    </row>
    <row r="610" spans="1:15" x14ac:dyDescent="0.35">
      <c r="A610" s="2" t="s">
        <v>573</v>
      </c>
      <c r="B610" s="2" t="s">
        <v>574</v>
      </c>
      <c r="C610" s="2" t="s">
        <v>18</v>
      </c>
      <c r="D610" s="2" t="s">
        <v>568</v>
      </c>
      <c r="E610" s="2" t="s">
        <v>20</v>
      </c>
      <c r="F610" s="2">
        <v>54</v>
      </c>
      <c r="G610" s="2">
        <v>51</v>
      </c>
      <c r="H610" s="2">
        <v>52</v>
      </c>
      <c r="I610" s="2">
        <v>62</v>
      </c>
      <c r="J610" s="2">
        <v>76</v>
      </c>
      <c r="K610" s="2">
        <v>70</v>
      </c>
      <c r="L610">
        <f t="shared" si="27"/>
        <v>365</v>
      </c>
      <c r="M610" s="4">
        <f t="shared" si="28"/>
        <v>60.833333333333336</v>
      </c>
      <c r="N610" t="str" cm="1">
        <f t="array" ref="N610">_xlfn.IFS(M610&gt;=70,"A",M610&gt;=60,"B",M610&gt;=50,"C",M610&gt;=45,"D",M610&gt;=40,"E",TRUE,"F")</f>
        <v>B</v>
      </c>
      <c r="O610">
        <f t="shared" si="29"/>
        <v>30</v>
      </c>
    </row>
    <row r="611" spans="1:15" x14ac:dyDescent="0.35">
      <c r="A611" s="2" t="s">
        <v>575</v>
      </c>
      <c r="B611" s="2" t="s">
        <v>578</v>
      </c>
      <c r="C611" s="2" t="s">
        <v>23</v>
      </c>
      <c r="D611" s="2" t="s">
        <v>568</v>
      </c>
      <c r="E611" s="2" t="s">
        <v>15</v>
      </c>
      <c r="F611" s="2">
        <v>23</v>
      </c>
      <c r="G611" s="2">
        <v>34</v>
      </c>
      <c r="H611" s="2">
        <v>27</v>
      </c>
      <c r="I611" s="2">
        <v>38</v>
      </c>
      <c r="J611" s="2">
        <v>31</v>
      </c>
      <c r="K611" s="2">
        <v>38</v>
      </c>
      <c r="L611">
        <f t="shared" si="27"/>
        <v>191</v>
      </c>
      <c r="M611" s="4">
        <f t="shared" si="28"/>
        <v>31.833333333333332</v>
      </c>
      <c r="N611" t="str" cm="1">
        <f t="array" ref="N611">_xlfn.IFS(M611&gt;=70,"A",M611&gt;=60,"B",M611&gt;=50,"C",M611&gt;=45,"D",M611&gt;=40,"E",TRUE,"F")</f>
        <v>F</v>
      </c>
      <c r="O611">
        <f t="shared" si="29"/>
        <v>39</v>
      </c>
    </row>
    <row r="612" spans="1:15" x14ac:dyDescent="0.35">
      <c r="A612" s="2" t="s">
        <v>575</v>
      </c>
      <c r="B612" s="2" t="s">
        <v>578</v>
      </c>
      <c r="C612" s="2" t="s">
        <v>23</v>
      </c>
      <c r="D612" s="2" t="s">
        <v>568</v>
      </c>
      <c r="E612" s="2" t="s">
        <v>17</v>
      </c>
      <c r="F612" s="2">
        <v>40</v>
      </c>
      <c r="G612" s="2">
        <v>25</v>
      </c>
      <c r="H612" s="2">
        <v>37</v>
      </c>
      <c r="I612" s="2">
        <v>34</v>
      </c>
      <c r="J612" s="2">
        <v>42</v>
      </c>
      <c r="K612" s="2">
        <v>38</v>
      </c>
      <c r="L612">
        <f t="shared" si="27"/>
        <v>216</v>
      </c>
      <c r="M612" s="4">
        <f t="shared" si="28"/>
        <v>36</v>
      </c>
      <c r="N612" t="str" cm="1">
        <f t="array" ref="N612">_xlfn.IFS(M612&gt;=70,"A",M612&gt;=60,"B",M612&gt;=50,"C",M612&gt;=45,"D",M612&gt;=40,"E",TRUE,"F")</f>
        <v>F</v>
      </c>
      <c r="O612">
        <f t="shared" si="29"/>
        <v>38</v>
      </c>
    </row>
    <row r="613" spans="1:15" x14ac:dyDescent="0.35">
      <c r="A613" s="2" t="s">
        <v>575</v>
      </c>
      <c r="B613" s="23" t="s">
        <v>578</v>
      </c>
      <c r="C613" s="2" t="s">
        <v>23</v>
      </c>
      <c r="D613" s="2" t="s">
        <v>568</v>
      </c>
      <c r="E613" s="2" t="s">
        <v>20</v>
      </c>
      <c r="F613" s="2">
        <v>26</v>
      </c>
      <c r="G613" s="2">
        <v>33</v>
      </c>
      <c r="H613" s="2">
        <v>40</v>
      </c>
      <c r="I613" s="2">
        <v>43</v>
      </c>
      <c r="J613" s="2">
        <v>38</v>
      </c>
      <c r="K613" s="2">
        <v>49</v>
      </c>
      <c r="L613">
        <f t="shared" si="27"/>
        <v>229</v>
      </c>
      <c r="M613" s="4">
        <f t="shared" si="28"/>
        <v>38.166666666666664</v>
      </c>
      <c r="N613" t="str" cm="1">
        <f t="array" ref="N613">_xlfn.IFS(M613&gt;=70,"A",M613&gt;=60,"B",M613&gt;=50,"C",M613&gt;=45,"D",M613&gt;=40,"E",TRUE,"F")</f>
        <v>F</v>
      </c>
      <c r="O613">
        <f t="shared" si="29"/>
        <v>38</v>
      </c>
    </row>
    <row r="614" spans="1:15" x14ac:dyDescent="0.35">
      <c r="A614" s="2" t="s">
        <v>581</v>
      </c>
      <c r="B614" s="2" t="s">
        <v>582</v>
      </c>
      <c r="C614" s="2" t="s">
        <v>18</v>
      </c>
      <c r="D614" s="2" t="s">
        <v>568</v>
      </c>
      <c r="E614" s="2" t="s">
        <v>15</v>
      </c>
      <c r="F614" s="2">
        <v>68</v>
      </c>
      <c r="G614" s="2">
        <v>73</v>
      </c>
      <c r="H614" s="2">
        <v>72</v>
      </c>
      <c r="I614" s="2">
        <v>59</v>
      </c>
      <c r="J614" s="2">
        <v>81</v>
      </c>
      <c r="K614" s="2">
        <v>63</v>
      </c>
      <c r="L614">
        <f t="shared" si="27"/>
        <v>416</v>
      </c>
      <c r="M614" s="4">
        <f t="shared" si="28"/>
        <v>69.333333333333329</v>
      </c>
      <c r="N614" t="str" cm="1">
        <f t="array" ref="N614">_xlfn.IFS(M614&gt;=70,"A",M614&gt;=60,"B",M614&gt;=50,"C",M614&gt;=45,"D",M614&gt;=40,"E",TRUE,"F")</f>
        <v>B</v>
      </c>
      <c r="O614">
        <f t="shared" si="29"/>
        <v>12</v>
      </c>
    </row>
    <row r="615" spans="1:15" x14ac:dyDescent="0.35">
      <c r="A615" s="2" t="s">
        <v>581</v>
      </c>
      <c r="B615" s="2" t="s">
        <v>582</v>
      </c>
      <c r="C615" s="2" t="s">
        <v>18</v>
      </c>
      <c r="D615" s="2" t="s">
        <v>568</v>
      </c>
      <c r="E615" s="2" t="s">
        <v>17</v>
      </c>
      <c r="F615" s="2"/>
      <c r="G615" s="2">
        <v>76</v>
      </c>
      <c r="H615" s="2">
        <v>55</v>
      </c>
      <c r="I615" s="2">
        <v>75</v>
      </c>
      <c r="J615" s="2">
        <v>83</v>
      </c>
      <c r="K615" s="2">
        <v>79</v>
      </c>
      <c r="L615">
        <f t="shared" si="27"/>
        <v>368</v>
      </c>
      <c r="M615" s="4">
        <f t="shared" si="28"/>
        <v>73.599999999999994</v>
      </c>
      <c r="N615" t="str" cm="1">
        <f t="array" ref="N615">_xlfn.IFS(M615&gt;=70,"A",M615&gt;=60,"B",M615&gt;=50,"C",M615&gt;=45,"D",M615&gt;=40,"E",TRUE,"F")</f>
        <v>A</v>
      </c>
      <c r="O615">
        <f t="shared" si="29"/>
        <v>10</v>
      </c>
    </row>
    <row r="616" spans="1:15" x14ac:dyDescent="0.35">
      <c r="A616" s="2" t="s">
        <v>581</v>
      </c>
      <c r="B616" s="2" t="s">
        <v>582</v>
      </c>
      <c r="C616" s="2" t="s">
        <v>18</v>
      </c>
      <c r="D616" s="2" t="s">
        <v>568</v>
      </c>
      <c r="E616" s="2" t="s">
        <v>20</v>
      </c>
      <c r="F616" s="2">
        <v>77</v>
      </c>
      <c r="G616" s="2">
        <v>74</v>
      </c>
      <c r="H616" s="2">
        <v>64</v>
      </c>
      <c r="I616" s="2">
        <v>81</v>
      </c>
      <c r="J616" s="2">
        <v>73</v>
      </c>
      <c r="K616" s="2">
        <v>81</v>
      </c>
      <c r="L616">
        <f t="shared" si="27"/>
        <v>450</v>
      </c>
      <c r="M616" s="4">
        <f t="shared" si="28"/>
        <v>75</v>
      </c>
      <c r="N616" t="str" cm="1">
        <f t="array" ref="N616">_xlfn.IFS(M616&gt;=70,"A",M616&gt;=60,"B",M616&gt;=50,"C",M616&gt;=45,"D",M616&gt;=40,"E",TRUE,"F")</f>
        <v>A</v>
      </c>
      <c r="O616">
        <f t="shared" si="29"/>
        <v>14</v>
      </c>
    </row>
    <row r="617" spans="1:15" x14ac:dyDescent="0.35">
      <c r="A617" s="2" t="s">
        <v>584</v>
      </c>
      <c r="B617" s="2" t="s">
        <v>585</v>
      </c>
      <c r="C617" s="2" t="s">
        <v>18</v>
      </c>
      <c r="D617" s="2" t="s">
        <v>568</v>
      </c>
      <c r="E617" s="2" t="s">
        <v>15</v>
      </c>
      <c r="F617" s="2">
        <v>45</v>
      </c>
      <c r="G617" s="2">
        <v>58</v>
      </c>
      <c r="H617" s="2">
        <v>49</v>
      </c>
      <c r="I617" s="2">
        <v>57</v>
      </c>
      <c r="J617" s="2">
        <v>77</v>
      </c>
      <c r="K617" s="2">
        <v>63</v>
      </c>
      <c r="L617">
        <f t="shared" si="27"/>
        <v>349</v>
      </c>
      <c r="M617" s="4">
        <f t="shared" si="28"/>
        <v>58.166666666666664</v>
      </c>
      <c r="N617" t="str" cm="1">
        <f t="array" ref="N617">_xlfn.IFS(M617&gt;=70,"A",M617&gt;=60,"B",M617&gt;=50,"C",M617&gt;=45,"D",M617&gt;=40,"E",TRUE,"F")</f>
        <v>C</v>
      </c>
      <c r="O617">
        <f t="shared" si="29"/>
        <v>22</v>
      </c>
    </row>
    <row r="618" spans="1:15" x14ac:dyDescent="0.35">
      <c r="A618" s="2" t="s">
        <v>584</v>
      </c>
      <c r="B618" s="2" t="s">
        <v>585</v>
      </c>
      <c r="C618" s="2" t="s">
        <v>18</v>
      </c>
      <c r="D618" s="2" t="s">
        <v>568</v>
      </c>
      <c r="E618" s="2" t="s">
        <v>17</v>
      </c>
      <c r="F618" s="2">
        <v>58</v>
      </c>
      <c r="G618" s="2">
        <v>75</v>
      </c>
      <c r="H618" s="2">
        <v>67</v>
      </c>
      <c r="I618" s="2">
        <v>79</v>
      </c>
      <c r="J618" s="2">
        <v>73</v>
      </c>
      <c r="K618" s="2">
        <v>75</v>
      </c>
      <c r="L618">
        <f t="shared" si="27"/>
        <v>427</v>
      </c>
      <c r="M618" s="4">
        <f t="shared" si="28"/>
        <v>71.166666666666671</v>
      </c>
      <c r="N618" t="str" cm="1">
        <f t="array" ref="N618">_xlfn.IFS(M618&gt;=70,"A",M618&gt;=60,"B",M618&gt;=50,"C",M618&gt;=45,"D",M618&gt;=40,"E",TRUE,"F")</f>
        <v>A</v>
      </c>
      <c r="O618">
        <f t="shared" si="29"/>
        <v>12</v>
      </c>
    </row>
    <row r="619" spans="1:15" x14ac:dyDescent="0.35">
      <c r="A619" s="2" t="s">
        <v>584</v>
      </c>
      <c r="B619" s="2" t="s">
        <v>585</v>
      </c>
      <c r="C619" s="2" t="s">
        <v>18</v>
      </c>
      <c r="D619" s="2" t="s">
        <v>568</v>
      </c>
      <c r="E619" s="2" t="s">
        <v>20</v>
      </c>
      <c r="F619" s="2">
        <v>67</v>
      </c>
      <c r="G619" s="2">
        <v>85</v>
      </c>
      <c r="H619" s="2">
        <v>75</v>
      </c>
      <c r="I619" s="2">
        <v>78</v>
      </c>
      <c r="J619" s="2">
        <v>94</v>
      </c>
      <c r="K619" s="2">
        <v>66</v>
      </c>
      <c r="L619">
        <f t="shared" si="27"/>
        <v>465</v>
      </c>
      <c r="M619" s="4">
        <f t="shared" si="28"/>
        <v>77.5</v>
      </c>
      <c r="N619" t="str" cm="1">
        <f t="array" ref="N619">_xlfn.IFS(M619&gt;=70,"A",M619&gt;=60,"B",M619&gt;=50,"C",M619&gt;=45,"D",M619&gt;=40,"E",TRUE,"F")</f>
        <v>A</v>
      </c>
      <c r="O619">
        <f t="shared" si="29"/>
        <v>9</v>
      </c>
    </row>
    <row r="620" spans="1:15" x14ac:dyDescent="0.35">
      <c r="A620" s="2" t="s">
        <v>586</v>
      </c>
      <c r="B620" s="2" t="s">
        <v>587</v>
      </c>
      <c r="C620" s="2" t="s">
        <v>18</v>
      </c>
      <c r="D620" s="2" t="s">
        <v>568</v>
      </c>
      <c r="E620" s="2" t="s">
        <v>20</v>
      </c>
      <c r="F620" s="2">
        <v>84</v>
      </c>
      <c r="G620" s="2">
        <v>69</v>
      </c>
      <c r="H620" s="2">
        <v>80</v>
      </c>
      <c r="I620" s="2">
        <v>80</v>
      </c>
      <c r="J620" s="2">
        <v>91</v>
      </c>
      <c r="K620" s="2">
        <v>89</v>
      </c>
      <c r="L620">
        <f t="shared" si="27"/>
        <v>493</v>
      </c>
      <c r="M620" s="4">
        <f t="shared" si="28"/>
        <v>82.166666666666671</v>
      </c>
      <c r="N620" t="str" cm="1">
        <f t="array" ref="N620">_xlfn.IFS(M620&gt;=70,"A",M620&gt;=60,"B",M620&gt;=50,"C",M620&gt;=45,"D",M620&gt;=40,"E",TRUE,"F")</f>
        <v>A</v>
      </c>
      <c r="O620">
        <f t="shared" si="29"/>
        <v>5</v>
      </c>
    </row>
    <row r="621" spans="1:15" x14ac:dyDescent="0.35">
      <c r="A621" s="2" t="s">
        <v>586</v>
      </c>
      <c r="B621" s="2" t="s">
        <v>587</v>
      </c>
      <c r="C621" s="2" t="s">
        <v>18</v>
      </c>
      <c r="D621" s="2" t="s">
        <v>568</v>
      </c>
      <c r="E621" s="2" t="s">
        <v>15</v>
      </c>
      <c r="F621" s="2">
        <v>71</v>
      </c>
      <c r="G621" s="2">
        <v>87</v>
      </c>
      <c r="H621" s="2">
        <v>73</v>
      </c>
      <c r="I621" s="2">
        <v>79</v>
      </c>
      <c r="J621" s="2">
        <v>89</v>
      </c>
      <c r="K621" s="2">
        <v>88</v>
      </c>
      <c r="L621">
        <f t="shared" si="27"/>
        <v>487</v>
      </c>
      <c r="M621" s="4">
        <f t="shared" si="28"/>
        <v>81.166666666666671</v>
      </c>
      <c r="N621" t="str" cm="1">
        <f t="array" ref="N621">_xlfn.IFS(M621&gt;=70,"A",M621&gt;=60,"B",M621&gt;=50,"C",M621&gt;=45,"D",M621&gt;=40,"E",TRUE,"F")</f>
        <v>A</v>
      </c>
      <c r="O621">
        <f t="shared" si="29"/>
        <v>2</v>
      </c>
    </row>
    <row r="622" spans="1:15" x14ac:dyDescent="0.35">
      <c r="A622" s="2" t="s">
        <v>586</v>
      </c>
      <c r="B622" s="2" t="s">
        <v>587</v>
      </c>
      <c r="C622" s="2" t="s">
        <v>18</v>
      </c>
      <c r="D622" s="2" t="s">
        <v>568</v>
      </c>
      <c r="E622" s="2" t="s">
        <v>17</v>
      </c>
      <c r="F622" s="2">
        <v>82</v>
      </c>
      <c r="G622" s="2">
        <v>79</v>
      </c>
      <c r="H622" s="2">
        <v>81</v>
      </c>
      <c r="I622" s="2">
        <v>82</v>
      </c>
      <c r="J622" s="2">
        <v>80</v>
      </c>
      <c r="K622" s="2">
        <v>82</v>
      </c>
      <c r="L622">
        <f t="shared" si="27"/>
        <v>486</v>
      </c>
      <c r="M622" s="4">
        <f t="shared" si="28"/>
        <v>81</v>
      </c>
      <c r="N622" t="str" cm="1">
        <f t="array" ref="N622">_xlfn.IFS(M622&gt;=70,"A",M622&gt;=60,"B",M622&gt;=50,"C",M622&gt;=45,"D",M622&gt;=40,"E",TRUE,"F")</f>
        <v>A</v>
      </c>
      <c r="O622">
        <f t="shared" si="29"/>
        <v>4</v>
      </c>
    </row>
    <row r="623" spans="1:15" x14ac:dyDescent="0.35">
      <c r="A623" s="2" t="s">
        <v>588</v>
      </c>
      <c r="B623" s="2" t="s">
        <v>589</v>
      </c>
      <c r="C623" s="2" t="s">
        <v>18</v>
      </c>
      <c r="D623" s="2" t="s">
        <v>568</v>
      </c>
      <c r="E623" s="2" t="s">
        <v>15</v>
      </c>
      <c r="F623" s="2">
        <v>29</v>
      </c>
      <c r="G623" s="2">
        <v>34</v>
      </c>
      <c r="H623" s="2">
        <v>16</v>
      </c>
      <c r="I623" s="2">
        <v>38</v>
      </c>
      <c r="J623" s="2">
        <v>32</v>
      </c>
      <c r="K623" s="2">
        <v>37</v>
      </c>
      <c r="L623">
        <f t="shared" si="27"/>
        <v>186</v>
      </c>
      <c r="M623" s="4">
        <f t="shared" si="28"/>
        <v>31</v>
      </c>
      <c r="N623" t="str" cm="1">
        <f t="array" ref="N623">_xlfn.IFS(M623&gt;=70,"A",M623&gt;=60,"B",M623&gt;=50,"C",M623&gt;=45,"D",M623&gt;=40,"E",TRUE,"F")</f>
        <v>F</v>
      </c>
      <c r="O623">
        <f t="shared" si="29"/>
        <v>40</v>
      </c>
    </row>
    <row r="624" spans="1:15" x14ac:dyDescent="0.35">
      <c r="A624" s="2" t="s">
        <v>588</v>
      </c>
      <c r="B624" s="2" t="s">
        <v>589</v>
      </c>
      <c r="C624" s="2" t="s">
        <v>18</v>
      </c>
      <c r="D624" s="2" t="s">
        <v>568</v>
      </c>
      <c r="E624" s="2" t="s">
        <v>17</v>
      </c>
      <c r="F624" s="2">
        <v>19</v>
      </c>
      <c r="G624" s="2">
        <v>30</v>
      </c>
      <c r="H624" s="2">
        <v>41</v>
      </c>
      <c r="I624" s="2">
        <v>29</v>
      </c>
      <c r="J624" s="2">
        <v>47</v>
      </c>
      <c r="K624" s="2">
        <v>29</v>
      </c>
      <c r="L624">
        <f t="shared" si="27"/>
        <v>195</v>
      </c>
      <c r="M624" s="4">
        <f t="shared" si="28"/>
        <v>32.5</v>
      </c>
      <c r="N624" t="str" cm="1">
        <f t="array" ref="N624">_xlfn.IFS(M624&gt;=70,"A",M624&gt;=60,"B",M624&gt;=50,"C",M624&gt;=45,"D",M624&gt;=40,"E",TRUE,"F")</f>
        <v>F</v>
      </c>
      <c r="O624">
        <f t="shared" si="29"/>
        <v>39</v>
      </c>
    </row>
    <row r="625" spans="1:15" x14ac:dyDescent="0.35">
      <c r="A625" s="2" t="s">
        <v>588</v>
      </c>
      <c r="B625" s="2" t="s">
        <v>589</v>
      </c>
      <c r="C625" s="2" t="s">
        <v>18</v>
      </c>
      <c r="D625" s="2" t="s">
        <v>568</v>
      </c>
      <c r="E625" s="2" t="s">
        <v>20</v>
      </c>
      <c r="F625" s="2">
        <v>14</v>
      </c>
      <c r="G625" s="2">
        <v>31</v>
      </c>
      <c r="H625" s="2">
        <v>22</v>
      </c>
      <c r="I625" s="2">
        <v>31</v>
      </c>
      <c r="J625" s="2">
        <v>29</v>
      </c>
      <c r="K625" s="2">
        <v>40</v>
      </c>
      <c r="L625">
        <f t="shared" si="27"/>
        <v>167</v>
      </c>
      <c r="M625" s="4">
        <f t="shared" si="28"/>
        <v>27.833333333333332</v>
      </c>
      <c r="N625" t="str" cm="1">
        <f t="array" ref="N625">_xlfn.IFS(M625&gt;=70,"A",M625&gt;=60,"B",M625&gt;=50,"C",M625&gt;=45,"D",M625&gt;=40,"E",TRUE,"F")</f>
        <v>F</v>
      </c>
      <c r="O625">
        <f t="shared" si="29"/>
        <v>40</v>
      </c>
    </row>
    <row r="626" spans="1:15" x14ac:dyDescent="0.35">
      <c r="A626" s="2" t="s">
        <v>590</v>
      </c>
      <c r="B626" s="2" t="s">
        <v>591</v>
      </c>
      <c r="C626" s="2" t="s">
        <v>18</v>
      </c>
      <c r="D626" s="2" t="s">
        <v>568</v>
      </c>
      <c r="E626" s="2" t="s">
        <v>15</v>
      </c>
      <c r="F626" s="2">
        <v>35</v>
      </c>
      <c r="G626" s="2">
        <v>44</v>
      </c>
      <c r="H626" s="2">
        <v>52</v>
      </c>
      <c r="I626" s="2">
        <v>73</v>
      </c>
      <c r="J626" s="2">
        <v>50</v>
      </c>
      <c r="K626" s="2">
        <v>61</v>
      </c>
      <c r="L626">
        <f t="shared" si="27"/>
        <v>315</v>
      </c>
      <c r="M626" s="4">
        <f t="shared" si="28"/>
        <v>52.5</v>
      </c>
      <c r="N626" t="str" cm="1">
        <f t="array" ref="N626">_xlfn.IFS(M626&gt;=70,"A",M626&gt;=60,"B",M626&gt;=50,"C",M626&gt;=45,"D",M626&gt;=40,"E",TRUE,"F")</f>
        <v>C</v>
      </c>
      <c r="O626">
        <f t="shared" si="29"/>
        <v>31</v>
      </c>
    </row>
    <row r="627" spans="1:15" x14ac:dyDescent="0.35">
      <c r="A627" s="2" t="s">
        <v>590</v>
      </c>
      <c r="B627" s="2" t="s">
        <v>591</v>
      </c>
      <c r="C627" s="2" t="s">
        <v>18</v>
      </c>
      <c r="D627" s="2" t="s">
        <v>568</v>
      </c>
      <c r="E627" s="2" t="s">
        <v>17</v>
      </c>
      <c r="F627" s="2">
        <v>64</v>
      </c>
      <c r="G627" s="2">
        <v>64</v>
      </c>
      <c r="H627" s="2">
        <v>71</v>
      </c>
      <c r="I627" s="2">
        <v>48</v>
      </c>
      <c r="J627" s="2">
        <v>53</v>
      </c>
      <c r="K627" s="2">
        <v>49</v>
      </c>
      <c r="L627">
        <f t="shared" si="27"/>
        <v>349</v>
      </c>
      <c r="M627" s="4">
        <f t="shared" si="28"/>
        <v>58.166666666666664</v>
      </c>
      <c r="N627" t="str" cm="1">
        <f t="array" ref="N627">_xlfn.IFS(M627&gt;=70,"A",M627&gt;=60,"B",M627&gt;=50,"C",M627&gt;=45,"D",M627&gt;=40,"E",TRUE,"F")</f>
        <v>C</v>
      </c>
      <c r="O627">
        <f t="shared" si="29"/>
        <v>25</v>
      </c>
    </row>
    <row r="628" spans="1:15" x14ac:dyDescent="0.35">
      <c r="A628" s="2" t="s">
        <v>590</v>
      </c>
      <c r="B628" s="2" t="s">
        <v>591</v>
      </c>
      <c r="C628" s="2" t="s">
        <v>18</v>
      </c>
      <c r="D628" s="2" t="s">
        <v>568</v>
      </c>
      <c r="E628" s="2" t="s">
        <v>20</v>
      </c>
      <c r="F628" s="2">
        <v>53</v>
      </c>
      <c r="G628" s="2">
        <v>64</v>
      </c>
      <c r="H628" s="2">
        <v>55</v>
      </c>
      <c r="I628" s="2">
        <v>68</v>
      </c>
      <c r="J628" s="2">
        <v>69</v>
      </c>
      <c r="K628" s="2">
        <v>64</v>
      </c>
      <c r="L628">
        <f t="shared" si="27"/>
        <v>373</v>
      </c>
      <c r="M628" s="4">
        <f t="shared" si="28"/>
        <v>62.166666666666664</v>
      </c>
      <c r="N628" t="str" cm="1">
        <f t="array" ref="N628">_xlfn.IFS(M628&gt;=70,"A",M628&gt;=60,"B",M628&gt;=50,"C",M628&gt;=45,"D",M628&gt;=40,"E",TRUE,"F")</f>
        <v>B</v>
      </c>
      <c r="O628">
        <f t="shared" si="29"/>
        <v>28</v>
      </c>
    </row>
    <row r="629" spans="1:15" x14ac:dyDescent="0.35">
      <c r="A629" s="2" t="s">
        <v>592</v>
      </c>
      <c r="B629" s="2" t="s">
        <v>593</v>
      </c>
      <c r="C629" s="2" t="s">
        <v>23</v>
      </c>
      <c r="D629" s="2" t="s">
        <v>568</v>
      </c>
      <c r="E629" s="2" t="s">
        <v>15</v>
      </c>
      <c r="F629" s="2">
        <v>61</v>
      </c>
      <c r="G629" s="2">
        <v>59</v>
      </c>
      <c r="H629" s="2">
        <v>56</v>
      </c>
      <c r="I629" s="2">
        <v>74</v>
      </c>
      <c r="J629" s="2">
        <v>81</v>
      </c>
      <c r="K629" s="2">
        <v>76</v>
      </c>
      <c r="L629">
        <f t="shared" si="27"/>
        <v>407</v>
      </c>
      <c r="M629" s="4">
        <f t="shared" si="28"/>
        <v>67.833333333333329</v>
      </c>
      <c r="N629" t="str" cm="1">
        <f t="array" ref="N629">_xlfn.IFS(M629&gt;=70,"A",M629&gt;=60,"B",M629&gt;=50,"C",M629&gt;=45,"D",M629&gt;=40,"E",TRUE,"F")</f>
        <v>B</v>
      </c>
      <c r="O629">
        <f t="shared" si="29"/>
        <v>14</v>
      </c>
    </row>
    <row r="630" spans="1:15" x14ac:dyDescent="0.35">
      <c r="A630" s="2" t="s">
        <v>592</v>
      </c>
      <c r="B630" s="2" t="s">
        <v>593</v>
      </c>
      <c r="C630" s="2" t="s">
        <v>23</v>
      </c>
      <c r="D630" s="2" t="s">
        <v>568</v>
      </c>
      <c r="E630" s="2" t="s">
        <v>17</v>
      </c>
      <c r="F630" s="2">
        <v>49</v>
      </c>
      <c r="G630" s="2">
        <v>62</v>
      </c>
      <c r="H630" s="2">
        <v>63</v>
      </c>
      <c r="I630" s="2">
        <v>65</v>
      </c>
      <c r="J630" s="2">
        <v>61</v>
      </c>
      <c r="K630" s="2">
        <v>46</v>
      </c>
      <c r="L630">
        <f t="shared" si="27"/>
        <v>346</v>
      </c>
      <c r="M630" s="4">
        <f t="shared" si="28"/>
        <v>57.666666666666664</v>
      </c>
      <c r="N630" t="str" cm="1">
        <f t="array" ref="N630">_xlfn.IFS(M630&gt;=70,"A",M630&gt;=60,"B",M630&gt;=50,"C",M630&gt;=45,"D",M630&gt;=40,"E",TRUE,"F")</f>
        <v>C</v>
      </c>
      <c r="O630">
        <f t="shared" si="29"/>
        <v>28</v>
      </c>
    </row>
    <row r="631" spans="1:15" x14ac:dyDescent="0.35">
      <c r="A631" s="2" t="s">
        <v>592</v>
      </c>
      <c r="B631" s="2" t="s">
        <v>593</v>
      </c>
      <c r="C631" s="2" t="s">
        <v>23</v>
      </c>
      <c r="D631" s="2" t="s">
        <v>568</v>
      </c>
      <c r="E631" s="2" t="s">
        <v>20</v>
      </c>
      <c r="F631" s="2">
        <v>52</v>
      </c>
      <c r="G631" s="2">
        <v>53</v>
      </c>
      <c r="H631" s="2">
        <v>52</v>
      </c>
      <c r="I631" s="2">
        <v>52</v>
      </c>
      <c r="J631" s="2">
        <v>42</v>
      </c>
      <c r="K631" s="2">
        <v>58</v>
      </c>
      <c r="L631">
        <f t="shared" si="27"/>
        <v>309</v>
      </c>
      <c r="M631" s="4">
        <f t="shared" si="28"/>
        <v>51.5</v>
      </c>
      <c r="N631" t="str" cm="1">
        <f t="array" ref="N631">_xlfn.IFS(M631&gt;=70,"A",M631&gt;=60,"B",M631&gt;=50,"C",M631&gt;=45,"D",M631&gt;=40,"E",TRUE,"F")</f>
        <v>C</v>
      </c>
      <c r="O631">
        <f t="shared" si="29"/>
        <v>36</v>
      </c>
    </row>
    <row r="632" spans="1:15" x14ac:dyDescent="0.35">
      <c r="A632" s="2" t="s">
        <v>594</v>
      </c>
      <c r="B632" s="2" t="s">
        <v>596</v>
      </c>
      <c r="C632" s="2" t="s">
        <v>23</v>
      </c>
      <c r="D632" s="2" t="s">
        <v>568</v>
      </c>
      <c r="E632" s="2" t="s">
        <v>15</v>
      </c>
      <c r="F632" s="2">
        <v>59</v>
      </c>
      <c r="G632" s="2">
        <v>62</v>
      </c>
      <c r="H632" s="2">
        <v>51</v>
      </c>
      <c r="I632" s="2">
        <v>61</v>
      </c>
      <c r="J632" s="2">
        <v>59</v>
      </c>
      <c r="K632" s="2">
        <v>49</v>
      </c>
      <c r="L632">
        <f t="shared" si="27"/>
        <v>341</v>
      </c>
      <c r="M632" s="4">
        <f t="shared" si="28"/>
        <v>56.833333333333336</v>
      </c>
      <c r="N632" t="str" cm="1">
        <f t="array" ref="N632">_xlfn.IFS(M632&gt;=70,"A",M632&gt;=60,"B",M632&gt;=50,"C",M632&gt;=45,"D",M632&gt;=40,"E",TRUE,"F")</f>
        <v>C</v>
      </c>
      <c r="O632">
        <f t="shared" si="29"/>
        <v>25</v>
      </c>
    </row>
    <row r="633" spans="1:15" x14ac:dyDescent="0.35">
      <c r="A633" s="2" t="s">
        <v>594</v>
      </c>
      <c r="B633" s="2" t="s">
        <v>596</v>
      </c>
      <c r="C633" s="2" t="s">
        <v>23</v>
      </c>
      <c r="D633" s="2" t="s">
        <v>568</v>
      </c>
      <c r="E633" s="2" t="s">
        <v>17</v>
      </c>
      <c r="F633" s="2">
        <v>60</v>
      </c>
      <c r="G633" s="2">
        <v>75</v>
      </c>
      <c r="H633" s="2">
        <v>76</v>
      </c>
      <c r="I633" s="2">
        <v>66</v>
      </c>
      <c r="J633" s="2">
        <v>73</v>
      </c>
      <c r="K633" s="2">
        <v>58</v>
      </c>
      <c r="L633">
        <f t="shared" si="27"/>
        <v>408</v>
      </c>
      <c r="M633" s="4">
        <f t="shared" si="28"/>
        <v>68</v>
      </c>
      <c r="N633" t="str" cm="1">
        <f t="array" ref="N633">_xlfn.IFS(M633&gt;=70,"A",M633&gt;=60,"B",M633&gt;=50,"C",M633&gt;=45,"D",M633&gt;=40,"E",TRUE,"F")</f>
        <v>B</v>
      </c>
      <c r="O633">
        <f t="shared" si="29"/>
        <v>15</v>
      </c>
    </row>
    <row r="634" spans="1:15" x14ac:dyDescent="0.35">
      <c r="A634" s="2" t="s">
        <v>594</v>
      </c>
      <c r="B634" s="2" t="s">
        <v>596</v>
      </c>
      <c r="C634" s="2" t="s">
        <v>23</v>
      </c>
      <c r="D634" s="2" t="s">
        <v>568</v>
      </c>
      <c r="E634" s="2" t="s">
        <v>20</v>
      </c>
      <c r="F634" s="2">
        <v>58</v>
      </c>
      <c r="G634" s="2">
        <v>75</v>
      </c>
      <c r="H634" s="2">
        <v>74</v>
      </c>
      <c r="I634" s="2">
        <v>65</v>
      </c>
      <c r="J634" s="2">
        <v>70</v>
      </c>
      <c r="K634" s="2">
        <v>73</v>
      </c>
      <c r="L634">
        <f t="shared" si="27"/>
        <v>415</v>
      </c>
      <c r="M634" s="4">
        <f t="shared" si="28"/>
        <v>69.166666666666671</v>
      </c>
      <c r="N634" t="str" cm="1">
        <f t="array" ref="N634">_xlfn.IFS(M634&gt;=70,"A",M634&gt;=60,"B",M634&gt;=50,"C",M634&gt;=45,"D",M634&gt;=40,"E",TRUE,"F")</f>
        <v>B</v>
      </c>
      <c r="O634">
        <f t="shared" si="29"/>
        <v>19</v>
      </c>
    </row>
    <row r="635" spans="1:15" x14ac:dyDescent="0.35">
      <c r="A635" s="2" t="s">
        <v>598</v>
      </c>
      <c r="B635" s="2" t="s">
        <v>599</v>
      </c>
      <c r="C635" s="2" t="s">
        <v>23</v>
      </c>
      <c r="D635" s="2" t="s">
        <v>568</v>
      </c>
      <c r="E635" s="2" t="s">
        <v>15</v>
      </c>
      <c r="F635" s="2">
        <v>55</v>
      </c>
      <c r="G635" s="2">
        <v>54</v>
      </c>
      <c r="H635" s="2">
        <v>54</v>
      </c>
      <c r="I635" s="2">
        <v>66</v>
      </c>
      <c r="J635" s="2">
        <v>63</v>
      </c>
      <c r="K635" s="2">
        <v>54</v>
      </c>
      <c r="L635">
        <f t="shared" si="27"/>
        <v>346</v>
      </c>
      <c r="M635" s="4">
        <f t="shared" si="28"/>
        <v>57.666666666666664</v>
      </c>
      <c r="N635" t="str" cm="1">
        <f t="array" ref="N635">_xlfn.IFS(M635&gt;=70,"A",M635&gt;=60,"B",M635&gt;=50,"C",M635&gt;=45,"D",M635&gt;=40,"E",TRUE,"F")</f>
        <v>C</v>
      </c>
      <c r="O635">
        <f t="shared" si="29"/>
        <v>24</v>
      </c>
    </row>
    <row r="636" spans="1:15" x14ac:dyDescent="0.35">
      <c r="A636" s="2" t="s">
        <v>598</v>
      </c>
      <c r="B636" s="2" t="s">
        <v>599</v>
      </c>
      <c r="C636" s="2" t="s">
        <v>23</v>
      </c>
      <c r="D636" s="2" t="s">
        <v>568</v>
      </c>
      <c r="E636" s="2" t="s">
        <v>17</v>
      </c>
      <c r="F636" s="2">
        <v>49</v>
      </c>
      <c r="G636" s="2">
        <v>47</v>
      </c>
      <c r="H636" s="2">
        <v>54</v>
      </c>
      <c r="I636" s="2">
        <v>66</v>
      </c>
      <c r="J636" s="2">
        <v>65</v>
      </c>
      <c r="K636" s="2">
        <v>66</v>
      </c>
      <c r="L636">
        <f t="shared" si="27"/>
        <v>347</v>
      </c>
      <c r="M636" s="4">
        <f t="shared" si="28"/>
        <v>57.833333333333336</v>
      </c>
      <c r="N636" t="str" cm="1">
        <f t="array" ref="N636">_xlfn.IFS(M636&gt;=70,"A",M636&gt;=60,"B",M636&gt;=50,"C",M636&gt;=45,"D",M636&gt;=40,"E",TRUE,"F")</f>
        <v>C</v>
      </c>
      <c r="O636">
        <f t="shared" si="29"/>
        <v>27</v>
      </c>
    </row>
    <row r="637" spans="1:15" x14ac:dyDescent="0.35">
      <c r="A637" s="2" t="s">
        <v>598</v>
      </c>
      <c r="B637" s="2" t="s">
        <v>599</v>
      </c>
      <c r="C637" s="2" t="s">
        <v>23</v>
      </c>
      <c r="D637" s="2" t="s">
        <v>568</v>
      </c>
      <c r="E637" s="2" t="s">
        <v>20</v>
      </c>
      <c r="F637" s="2">
        <v>52</v>
      </c>
      <c r="G637" s="2">
        <v>61</v>
      </c>
      <c r="H637" s="2">
        <v>54</v>
      </c>
      <c r="I637" s="2">
        <v>63</v>
      </c>
      <c r="J637" s="2">
        <v>59</v>
      </c>
      <c r="K637" s="2">
        <v>64</v>
      </c>
      <c r="L637">
        <f t="shared" si="27"/>
        <v>353</v>
      </c>
      <c r="M637" s="4">
        <f t="shared" si="28"/>
        <v>58.833333333333336</v>
      </c>
      <c r="N637" t="str" cm="1">
        <f t="array" ref="N637">_xlfn.IFS(M637&gt;=70,"A",M637&gt;=60,"B",M637&gt;=50,"C",M637&gt;=45,"D",M637&gt;=40,"E",TRUE,"F")</f>
        <v>C</v>
      </c>
      <c r="O637">
        <f t="shared" si="29"/>
        <v>32</v>
      </c>
    </row>
    <row r="638" spans="1:15" x14ac:dyDescent="0.35">
      <c r="A638" s="2" t="s">
        <v>601</v>
      </c>
      <c r="B638" s="2" t="s">
        <v>602</v>
      </c>
      <c r="C638" s="2" t="s">
        <v>23</v>
      </c>
      <c r="D638" s="2" t="s">
        <v>568</v>
      </c>
      <c r="E638" s="2" t="s">
        <v>20</v>
      </c>
      <c r="F638" s="2">
        <v>72</v>
      </c>
      <c r="G638" s="2">
        <v>73</v>
      </c>
      <c r="H638" s="2">
        <v>98</v>
      </c>
      <c r="I638" s="2">
        <v>98</v>
      </c>
      <c r="J638" s="2">
        <v>98</v>
      </c>
      <c r="K638" s="2">
        <v>98</v>
      </c>
      <c r="L638">
        <f t="shared" si="27"/>
        <v>537</v>
      </c>
      <c r="M638" s="4">
        <f t="shared" si="28"/>
        <v>89.5</v>
      </c>
      <c r="N638" t="str" cm="1">
        <f t="array" ref="N638">_xlfn.IFS(M638&gt;=70,"A",M638&gt;=60,"B",M638&gt;=50,"C",M638&gt;=45,"D",M638&gt;=40,"E",TRUE,"F")</f>
        <v>A</v>
      </c>
      <c r="O638">
        <f t="shared" si="29"/>
        <v>1</v>
      </c>
    </row>
    <row r="639" spans="1:15" x14ac:dyDescent="0.35">
      <c r="A639" s="2" t="s">
        <v>601</v>
      </c>
      <c r="B639" s="2" t="s">
        <v>602</v>
      </c>
      <c r="C639" s="2" t="s">
        <v>23</v>
      </c>
      <c r="D639" s="2" t="s">
        <v>568</v>
      </c>
      <c r="E639" s="2" t="s">
        <v>15</v>
      </c>
      <c r="F639" s="2">
        <v>80</v>
      </c>
      <c r="G639" s="2">
        <v>92</v>
      </c>
      <c r="H639" s="2">
        <v>90</v>
      </c>
      <c r="I639" s="2">
        <v>84</v>
      </c>
      <c r="J639" s="2">
        <v>81</v>
      </c>
      <c r="K639" s="2">
        <v>89</v>
      </c>
      <c r="L639">
        <f t="shared" si="27"/>
        <v>516</v>
      </c>
      <c r="M639" s="4">
        <f t="shared" si="28"/>
        <v>86</v>
      </c>
      <c r="N639" t="str" cm="1">
        <f t="array" ref="N639">_xlfn.IFS(M639&gt;=70,"A",M639&gt;=60,"B",M639&gt;=50,"C",M639&gt;=45,"D",M639&gt;=40,"E",TRUE,"F")</f>
        <v>A</v>
      </c>
      <c r="O639">
        <f t="shared" si="29"/>
        <v>1</v>
      </c>
    </row>
    <row r="640" spans="1:15" x14ac:dyDescent="0.35">
      <c r="A640" s="2" t="s">
        <v>601</v>
      </c>
      <c r="B640" s="2" t="s">
        <v>602</v>
      </c>
      <c r="C640" s="2" t="s">
        <v>23</v>
      </c>
      <c r="D640" s="2" t="s">
        <v>568</v>
      </c>
      <c r="E640" s="2" t="s">
        <v>17</v>
      </c>
      <c r="F640" s="2">
        <v>94</v>
      </c>
      <c r="G640" s="2">
        <v>92</v>
      </c>
      <c r="H640" s="2">
        <v>69</v>
      </c>
      <c r="I640" s="2">
        <v>95</v>
      </c>
      <c r="J640" s="2">
        <v>84</v>
      </c>
      <c r="K640" s="2">
        <v>94</v>
      </c>
      <c r="L640">
        <f t="shared" si="27"/>
        <v>528</v>
      </c>
      <c r="M640" s="4">
        <f t="shared" si="28"/>
        <v>88</v>
      </c>
      <c r="N640" t="str" cm="1">
        <f t="array" ref="N640">_xlfn.IFS(M640&gt;=70,"A",M640&gt;=60,"B",M640&gt;=50,"C",M640&gt;=45,"D",M640&gt;=40,"E",TRUE,"F")</f>
        <v>A</v>
      </c>
      <c r="O640">
        <f t="shared" si="29"/>
        <v>1</v>
      </c>
    </row>
    <row r="641" spans="1:15" x14ac:dyDescent="0.35">
      <c r="A641" s="2" t="s">
        <v>604</v>
      </c>
      <c r="B641" s="2" t="s">
        <v>606</v>
      </c>
      <c r="C641" s="2" t="s">
        <v>23</v>
      </c>
      <c r="D641" s="2" t="s">
        <v>568</v>
      </c>
      <c r="E641" s="2" t="s">
        <v>15</v>
      </c>
      <c r="F641" s="2">
        <v>38</v>
      </c>
      <c r="G641" s="2">
        <v>69</v>
      </c>
      <c r="H641" s="2">
        <v>33</v>
      </c>
      <c r="I641" s="2">
        <v>56</v>
      </c>
      <c r="J641" s="2">
        <v>54</v>
      </c>
      <c r="K641" s="2">
        <v>55</v>
      </c>
      <c r="L641">
        <f t="shared" si="27"/>
        <v>305</v>
      </c>
      <c r="M641" s="4">
        <f t="shared" si="28"/>
        <v>50.833333333333336</v>
      </c>
      <c r="N641" t="str" cm="1">
        <f t="array" ref="N641">_xlfn.IFS(M641&gt;=70,"A",M641&gt;=60,"B",M641&gt;=50,"C",M641&gt;=45,"D",M641&gt;=40,"E",TRUE,"F")</f>
        <v>C</v>
      </c>
      <c r="O641">
        <f t="shared" si="29"/>
        <v>33</v>
      </c>
    </row>
    <row r="642" spans="1:15" x14ac:dyDescent="0.35">
      <c r="A642" s="2" t="s">
        <v>604</v>
      </c>
      <c r="B642" s="2" t="s">
        <v>606</v>
      </c>
      <c r="C642" s="2" t="s">
        <v>23</v>
      </c>
      <c r="D642" s="2" t="s">
        <v>568</v>
      </c>
      <c r="E642" s="2" t="s">
        <v>17</v>
      </c>
      <c r="F642" s="2">
        <v>35</v>
      </c>
      <c r="G642" s="2">
        <v>47</v>
      </c>
      <c r="H642" s="2">
        <v>53</v>
      </c>
      <c r="I642" s="2">
        <v>70</v>
      </c>
      <c r="J642" s="2">
        <v>55</v>
      </c>
      <c r="K642" s="2">
        <v>67</v>
      </c>
      <c r="L642">
        <f t="shared" ref="L642:L705" si="30">SUM(F642:K642)</f>
        <v>327</v>
      </c>
      <c r="M642" s="4">
        <f t="shared" ref="M642:M705" si="31">AVERAGE(F642:K642)</f>
        <v>54.5</v>
      </c>
      <c r="N642" t="str" cm="1">
        <f t="array" ref="N642">_xlfn.IFS(M642&gt;=70,"A",M642&gt;=60,"B",M642&gt;=50,"C",M642&gt;=45,"D",M642&gt;=40,"E",TRUE,"F")</f>
        <v>C</v>
      </c>
      <c r="O642">
        <f t="shared" ref="O642:O705" si="32">COUNTIFS($D$2:$D$721,D642,$E$2:$E$721,E642,$M$2:$M$721,"&gt;"&amp;M642)+1</f>
        <v>34</v>
      </c>
    </row>
    <row r="643" spans="1:15" x14ac:dyDescent="0.35">
      <c r="A643" s="2" t="s">
        <v>604</v>
      </c>
      <c r="B643" s="2" t="s">
        <v>606</v>
      </c>
      <c r="C643" s="2" t="s">
        <v>23</v>
      </c>
      <c r="D643" s="2" t="s">
        <v>568</v>
      </c>
      <c r="E643" s="2" t="s">
        <v>20</v>
      </c>
      <c r="F643" s="2">
        <v>58</v>
      </c>
      <c r="G643" s="2">
        <v>67</v>
      </c>
      <c r="H643" s="2">
        <v>55</v>
      </c>
      <c r="I643" s="2">
        <v>72</v>
      </c>
      <c r="J643" s="2">
        <v>57</v>
      </c>
      <c r="K643" s="2">
        <v>71</v>
      </c>
      <c r="L643">
        <f t="shared" si="30"/>
        <v>380</v>
      </c>
      <c r="M643" s="4">
        <f t="shared" si="31"/>
        <v>63.333333333333336</v>
      </c>
      <c r="N643" t="str" cm="1">
        <f t="array" ref="N643">_xlfn.IFS(M643&gt;=70,"A",M643&gt;=60,"B",M643&gt;=50,"C",M643&gt;=45,"D",M643&gt;=40,"E",TRUE,"F")</f>
        <v>B</v>
      </c>
      <c r="O643">
        <f t="shared" si="32"/>
        <v>25</v>
      </c>
    </row>
    <row r="644" spans="1:15" x14ac:dyDescent="0.35">
      <c r="A644" s="2" t="s">
        <v>607</v>
      </c>
      <c r="B644" s="2" t="s">
        <v>608</v>
      </c>
      <c r="C644" s="2" t="s">
        <v>18</v>
      </c>
      <c r="D644" s="2" t="s">
        <v>568</v>
      </c>
      <c r="E644" s="2" t="s">
        <v>15</v>
      </c>
      <c r="F644" s="2">
        <v>49</v>
      </c>
      <c r="G644" s="2">
        <v>55</v>
      </c>
      <c r="H644" s="2">
        <v>54</v>
      </c>
      <c r="I644" s="2">
        <v>52</v>
      </c>
      <c r="J644" s="2">
        <v>58</v>
      </c>
      <c r="K644" s="2">
        <v>69</v>
      </c>
      <c r="L644">
        <f t="shared" si="30"/>
        <v>337</v>
      </c>
      <c r="M644" s="4">
        <f t="shared" si="31"/>
        <v>56.166666666666664</v>
      </c>
      <c r="N644" t="str" cm="1">
        <f t="array" ref="N644">_xlfn.IFS(M644&gt;=70,"A",M644&gt;=60,"B",M644&gt;=50,"C",M644&gt;=45,"D",M644&gt;=40,"E",TRUE,"F")</f>
        <v>C</v>
      </c>
      <c r="O644">
        <f t="shared" si="32"/>
        <v>27</v>
      </c>
    </row>
    <row r="645" spans="1:15" x14ac:dyDescent="0.35">
      <c r="A645" s="2" t="s">
        <v>607</v>
      </c>
      <c r="B645" s="2" t="s">
        <v>608</v>
      </c>
      <c r="C645" s="2" t="s">
        <v>18</v>
      </c>
      <c r="D645" s="2" t="s">
        <v>568</v>
      </c>
      <c r="E645" s="2" t="s">
        <v>17</v>
      </c>
      <c r="F645" s="2">
        <v>59</v>
      </c>
      <c r="G645" s="2">
        <v>60</v>
      </c>
      <c r="H645" s="2">
        <v>66</v>
      </c>
      <c r="I645" s="2">
        <v>53</v>
      </c>
      <c r="J645" s="2">
        <v>64</v>
      </c>
      <c r="K645" s="2">
        <v>72</v>
      </c>
      <c r="L645">
        <f t="shared" si="30"/>
        <v>374</v>
      </c>
      <c r="M645" s="4">
        <f t="shared" si="31"/>
        <v>62.333333333333336</v>
      </c>
      <c r="N645" t="str" cm="1">
        <f t="array" ref="N645">_xlfn.IFS(M645&gt;=70,"A",M645&gt;=60,"B",M645&gt;=50,"C",M645&gt;=45,"D",M645&gt;=40,"E",TRUE,"F")</f>
        <v>B</v>
      </c>
      <c r="O645">
        <f t="shared" si="32"/>
        <v>22</v>
      </c>
    </row>
    <row r="646" spans="1:15" x14ac:dyDescent="0.35">
      <c r="A646" s="2" t="s">
        <v>607</v>
      </c>
      <c r="B646" s="2" t="s">
        <v>608</v>
      </c>
      <c r="C646" s="2" t="s">
        <v>18</v>
      </c>
      <c r="D646" s="2" t="s">
        <v>568</v>
      </c>
      <c r="E646" s="2" t="s">
        <v>20</v>
      </c>
      <c r="F646" s="2">
        <v>61</v>
      </c>
      <c r="G646" s="2">
        <v>61</v>
      </c>
      <c r="H646" s="2">
        <v>75</v>
      </c>
      <c r="I646" s="2">
        <v>66</v>
      </c>
      <c r="J646" s="2">
        <v>57</v>
      </c>
      <c r="K646" s="2">
        <v>69</v>
      </c>
      <c r="L646">
        <f t="shared" si="30"/>
        <v>389</v>
      </c>
      <c r="M646" s="4">
        <f t="shared" si="31"/>
        <v>64.833333333333329</v>
      </c>
      <c r="N646" t="str" cm="1">
        <f t="array" ref="N646">_xlfn.IFS(M646&gt;=70,"A",M646&gt;=60,"B",M646&gt;=50,"C",M646&gt;=45,"D",M646&gt;=40,"E",TRUE,"F")</f>
        <v>B</v>
      </c>
      <c r="O646">
        <f t="shared" si="32"/>
        <v>23</v>
      </c>
    </row>
    <row r="647" spans="1:15" x14ac:dyDescent="0.35">
      <c r="A647" s="2" t="s">
        <v>610</v>
      </c>
      <c r="B647" s="2" t="s">
        <v>611</v>
      </c>
      <c r="C647" s="2" t="s">
        <v>23</v>
      </c>
      <c r="D647" s="2" t="s">
        <v>568</v>
      </c>
      <c r="E647" s="2" t="s">
        <v>20</v>
      </c>
      <c r="F647" s="2">
        <v>74</v>
      </c>
      <c r="G647" s="2">
        <v>87</v>
      </c>
      <c r="H647" s="2">
        <v>78</v>
      </c>
      <c r="I647" s="2">
        <v>89</v>
      </c>
      <c r="J647" s="2">
        <v>80</v>
      </c>
      <c r="K647" s="2">
        <v>90</v>
      </c>
      <c r="L647">
        <f t="shared" si="30"/>
        <v>498</v>
      </c>
      <c r="M647" s="4">
        <f t="shared" si="31"/>
        <v>83</v>
      </c>
      <c r="N647" t="str" cm="1">
        <f t="array" ref="N647">_xlfn.IFS(M647&gt;=70,"A",M647&gt;=60,"B",M647&gt;=50,"C",M647&gt;=45,"D",M647&gt;=40,"E",TRUE,"F")</f>
        <v>A</v>
      </c>
      <c r="O647">
        <f t="shared" si="32"/>
        <v>4</v>
      </c>
    </row>
    <row r="648" spans="1:15" x14ac:dyDescent="0.35">
      <c r="A648" s="2" t="s">
        <v>610</v>
      </c>
      <c r="B648" s="2" t="s">
        <v>611</v>
      </c>
      <c r="C648" s="2" t="s">
        <v>23</v>
      </c>
      <c r="D648" s="2" t="s">
        <v>568</v>
      </c>
      <c r="E648" s="2" t="s">
        <v>15</v>
      </c>
      <c r="F648" s="2">
        <v>58</v>
      </c>
      <c r="G648" s="2">
        <v>82</v>
      </c>
      <c r="H648" s="2">
        <v>70</v>
      </c>
      <c r="I648" s="2">
        <v>75</v>
      </c>
      <c r="J648" s="2">
        <v>80</v>
      </c>
      <c r="K648" s="2">
        <v>80</v>
      </c>
      <c r="L648">
        <f t="shared" si="30"/>
        <v>445</v>
      </c>
      <c r="M648" s="4">
        <f t="shared" si="31"/>
        <v>74.166666666666671</v>
      </c>
      <c r="N648" t="str" cm="1">
        <f t="array" ref="N648">_xlfn.IFS(M648&gt;=70,"A",M648&gt;=60,"B",M648&gt;=50,"C",M648&gt;=45,"D",M648&gt;=40,"E",TRUE,"F")</f>
        <v>A</v>
      </c>
      <c r="O648">
        <f t="shared" si="32"/>
        <v>6</v>
      </c>
    </row>
    <row r="649" spans="1:15" x14ac:dyDescent="0.35">
      <c r="A649" s="2" t="s">
        <v>610</v>
      </c>
      <c r="B649" s="2" t="s">
        <v>611</v>
      </c>
      <c r="C649" s="2" t="s">
        <v>23</v>
      </c>
      <c r="D649" s="2" t="s">
        <v>568</v>
      </c>
      <c r="E649" s="2" t="s">
        <v>17</v>
      </c>
      <c r="F649" s="2">
        <v>60</v>
      </c>
      <c r="G649" s="2">
        <v>65</v>
      </c>
      <c r="H649" s="2">
        <v>76</v>
      </c>
      <c r="I649" s="2">
        <v>85</v>
      </c>
      <c r="J649" s="2">
        <v>88</v>
      </c>
      <c r="K649" s="2">
        <v>85</v>
      </c>
      <c r="L649">
        <f t="shared" si="30"/>
        <v>459</v>
      </c>
      <c r="M649" s="4">
        <f t="shared" si="31"/>
        <v>76.5</v>
      </c>
      <c r="N649" t="str" cm="1">
        <f t="array" ref="N649">_xlfn.IFS(M649&gt;=70,"A",M649&gt;=60,"B",M649&gt;=50,"C",M649&gt;=45,"D",M649&gt;=40,"E",TRUE,"F")</f>
        <v>A</v>
      </c>
      <c r="O649">
        <f t="shared" si="32"/>
        <v>7</v>
      </c>
    </row>
    <row r="650" spans="1:15" x14ac:dyDescent="0.35">
      <c r="A650" s="2" t="s">
        <v>612</v>
      </c>
      <c r="B650" s="2" t="s">
        <v>613</v>
      </c>
      <c r="C650" s="2" t="s">
        <v>18</v>
      </c>
      <c r="D650" s="2" t="s">
        <v>568</v>
      </c>
      <c r="E650" s="2" t="s">
        <v>20</v>
      </c>
      <c r="F650" s="2">
        <v>70</v>
      </c>
      <c r="G650" s="2">
        <v>78</v>
      </c>
      <c r="H650" s="2">
        <v>66</v>
      </c>
      <c r="I650" s="2">
        <v>77</v>
      </c>
      <c r="J650" s="2">
        <v>82</v>
      </c>
      <c r="K650" s="2">
        <v>83</v>
      </c>
      <c r="L650">
        <f t="shared" si="30"/>
        <v>456</v>
      </c>
      <c r="M650" s="4">
        <f t="shared" si="31"/>
        <v>76</v>
      </c>
      <c r="N650" t="str" cm="1">
        <f t="array" ref="N650">_xlfn.IFS(M650&gt;=70,"A",M650&gt;=60,"B",M650&gt;=50,"C",M650&gt;=45,"D",M650&gt;=40,"E",TRUE,"F")</f>
        <v>A</v>
      </c>
      <c r="O650">
        <f t="shared" si="32"/>
        <v>12</v>
      </c>
    </row>
    <row r="651" spans="1:15" x14ac:dyDescent="0.35">
      <c r="A651" s="2" t="s">
        <v>612</v>
      </c>
      <c r="B651" s="2" t="s">
        <v>613</v>
      </c>
      <c r="C651" s="2" t="s">
        <v>18</v>
      </c>
      <c r="D651" s="2" t="s">
        <v>568</v>
      </c>
      <c r="E651" s="2" t="s">
        <v>15</v>
      </c>
      <c r="F651" s="2">
        <v>51</v>
      </c>
      <c r="G651" s="2">
        <v>83</v>
      </c>
      <c r="H651" s="2">
        <v>65</v>
      </c>
      <c r="I651" s="2">
        <v>80</v>
      </c>
      <c r="J651" s="2">
        <v>71</v>
      </c>
      <c r="K651" s="2">
        <v>76</v>
      </c>
      <c r="L651">
        <f t="shared" si="30"/>
        <v>426</v>
      </c>
      <c r="M651" s="4">
        <f t="shared" si="31"/>
        <v>71</v>
      </c>
      <c r="N651" t="str" cm="1">
        <f t="array" ref="N651">_xlfn.IFS(M651&gt;=70,"A",M651&gt;=60,"B",M651&gt;=50,"C",M651&gt;=45,"D",M651&gt;=40,"E",TRUE,"F")</f>
        <v>A</v>
      </c>
      <c r="O651">
        <f t="shared" si="32"/>
        <v>11</v>
      </c>
    </row>
    <row r="652" spans="1:15" x14ac:dyDescent="0.35">
      <c r="A652" s="2" t="s">
        <v>612</v>
      </c>
      <c r="B652" s="2" t="s">
        <v>613</v>
      </c>
      <c r="C652" s="2" t="s">
        <v>18</v>
      </c>
      <c r="D652" s="2" t="s">
        <v>568</v>
      </c>
      <c r="E652" s="2" t="s">
        <v>17</v>
      </c>
      <c r="F652" s="2">
        <v>66</v>
      </c>
      <c r="G652" s="2">
        <v>66</v>
      </c>
      <c r="H652" s="2">
        <v>66</v>
      </c>
      <c r="I652" s="2">
        <v>72</v>
      </c>
      <c r="J652" s="2">
        <v>80</v>
      </c>
      <c r="K652" s="2">
        <v>72</v>
      </c>
      <c r="L652">
        <f t="shared" si="30"/>
        <v>422</v>
      </c>
      <c r="M652" s="4">
        <f t="shared" si="31"/>
        <v>70.333333333333329</v>
      </c>
      <c r="N652" t="str" cm="1">
        <f t="array" ref="N652">_xlfn.IFS(M652&gt;=70,"A",M652&gt;=60,"B",M652&gt;=50,"C",M652&gt;=45,"D",M652&gt;=40,"E",TRUE,"F")</f>
        <v>A</v>
      </c>
      <c r="O652">
        <f t="shared" si="32"/>
        <v>13</v>
      </c>
    </row>
    <row r="653" spans="1:15" x14ac:dyDescent="0.35">
      <c r="A653" s="2" t="s">
        <v>614</v>
      </c>
      <c r="B653" s="2" t="s">
        <v>615</v>
      </c>
      <c r="C653" s="2" t="s">
        <v>23</v>
      </c>
      <c r="D653" s="2" t="s">
        <v>568</v>
      </c>
      <c r="E653" s="2" t="s">
        <v>20</v>
      </c>
      <c r="F653" s="2">
        <v>85</v>
      </c>
      <c r="G653" s="2">
        <v>80</v>
      </c>
      <c r="H653" s="2">
        <v>71</v>
      </c>
      <c r="I653" s="2">
        <v>86</v>
      </c>
      <c r="J653" s="2">
        <v>86</v>
      </c>
      <c r="K653" s="2">
        <v>73</v>
      </c>
      <c r="L653">
        <f t="shared" si="30"/>
        <v>481</v>
      </c>
      <c r="M653" s="4">
        <f t="shared" si="31"/>
        <v>80.166666666666671</v>
      </c>
      <c r="N653" t="str" cm="1">
        <f t="array" ref="N653">_xlfn.IFS(M653&gt;=70,"A",M653&gt;=60,"B",M653&gt;=50,"C",M653&gt;=45,"D",M653&gt;=40,"E",TRUE,"F")</f>
        <v>A</v>
      </c>
      <c r="O653">
        <f t="shared" si="32"/>
        <v>7</v>
      </c>
    </row>
    <row r="654" spans="1:15" x14ac:dyDescent="0.35">
      <c r="A654" s="2" t="s">
        <v>614</v>
      </c>
      <c r="B654" s="2" t="s">
        <v>615</v>
      </c>
      <c r="C654" s="2" t="s">
        <v>23</v>
      </c>
      <c r="D654" s="2" t="s">
        <v>568</v>
      </c>
      <c r="E654" s="2" t="s">
        <v>15</v>
      </c>
      <c r="F654" s="2">
        <v>70</v>
      </c>
      <c r="G654" s="2">
        <v>85</v>
      </c>
      <c r="H654" s="2">
        <v>65</v>
      </c>
      <c r="I654" s="2">
        <v>91</v>
      </c>
      <c r="J654" s="2">
        <v>71</v>
      </c>
      <c r="K654" s="2">
        <v>75</v>
      </c>
      <c r="L654">
        <f t="shared" si="30"/>
        <v>457</v>
      </c>
      <c r="M654" s="4">
        <f t="shared" si="31"/>
        <v>76.166666666666671</v>
      </c>
      <c r="N654" t="str" cm="1">
        <f t="array" ref="N654">_xlfn.IFS(M654&gt;=70,"A",M654&gt;=60,"B",M654&gt;=50,"C",M654&gt;=45,"D",M654&gt;=40,"E",TRUE,"F")</f>
        <v>A</v>
      </c>
      <c r="O654">
        <f t="shared" si="32"/>
        <v>5</v>
      </c>
    </row>
    <row r="655" spans="1:15" x14ac:dyDescent="0.35">
      <c r="A655" s="2" t="s">
        <v>614</v>
      </c>
      <c r="B655" s="2" t="s">
        <v>615</v>
      </c>
      <c r="C655" s="2" t="s">
        <v>23</v>
      </c>
      <c r="D655" s="2" t="s">
        <v>568</v>
      </c>
      <c r="E655" s="2" t="s">
        <v>17</v>
      </c>
      <c r="F655" s="2">
        <v>74</v>
      </c>
      <c r="G655" s="2">
        <v>91</v>
      </c>
      <c r="H655" s="2">
        <v>67</v>
      </c>
      <c r="I655" s="2">
        <v>68</v>
      </c>
      <c r="J655" s="2">
        <v>80</v>
      </c>
      <c r="K655" s="2">
        <v>78</v>
      </c>
      <c r="L655">
        <f t="shared" si="30"/>
        <v>458</v>
      </c>
      <c r="M655" s="4">
        <f t="shared" si="31"/>
        <v>76.333333333333329</v>
      </c>
      <c r="N655" t="str" cm="1">
        <f t="array" ref="N655">_xlfn.IFS(M655&gt;=70,"A",M655&gt;=60,"B",M655&gt;=50,"C",M655&gt;=45,"D",M655&gt;=40,"E",TRUE,"F")</f>
        <v>A</v>
      </c>
      <c r="O655">
        <f t="shared" si="32"/>
        <v>8</v>
      </c>
    </row>
    <row r="656" spans="1:15" x14ac:dyDescent="0.35">
      <c r="A656" s="2" t="s">
        <v>617</v>
      </c>
      <c r="B656" s="2" t="s">
        <v>618</v>
      </c>
      <c r="C656" s="2" t="s">
        <v>18</v>
      </c>
      <c r="D656" s="2" t="s">
        <v>568</v>
      </c>
      <c r="E656" s="2" t="s">
        <v>20</v>
      </c>
      <c r="F656" s="2">
        <v>48</v>
      </c>
      <c r="G656" s="2">
        <v>76</v>
      </c>
      <c r="H656" s="2">
        <v>63</v>
      </c>
      <c r="I656" s="2">
        <v>83</v>
      </c>
      <c r="J656" s="2">
        <v>84</v>
      </c>
      <c r="K656" s="2">
        <v>75</v>
      </c>
      <c r="L656">
        <f t="shared" si="30"/>
        <v>429</v>
      </c>
      <c r="M656" s="4">
        <f t="shared" si="31"/>
        <v>71.5</v>
      </c>
      <c r="N656" t="str" cm="1">
        <f t="array" ref="N656">_xlfn.IFS(M656&gt;=70,"A",M656&gt;=60,"B",M656&gt;=50,"C",M656&gt;=45,"D",M656&gt;=40,"E",TRUE,"F")</f>
        <v>A</v>
      </c>
      <c r="O656">
        <f t="shared" si="32"/>
        <v>17</v>
      </c>
    </row>
    <row r="657" spans="1:15" x14ac:dyDescent="0.35">
      <c r="A657" s="2" t="s">
        <v>617</v>
      </c>
      <c r="B657" s="2" t="s">
        <v>618</v>
      </c>
      <c r="C657" s="2" t="s">
        <v>18</v>
      </c>
      <c r="D657" s="2" t="s">
        <v>568</v>
      </c>
      <c r="E657" s="2" t="s">
        <v>15</v>
      </c>
      <c r="F657" s="2">
        <v>79</v>
      </c>
      <c r="G657" s="2">
        <v>70</v>
      </c>
      <c r="H657" s="2">
        <v>63</v>
      </c>
      <c r="I657" s="2">
        <v>68</v>
      </c>
      <c r="J657" s="2">
        <v>83</v>
      </c>
      <c r="K657" s="2">
        <v>74</v>
      </c>
      <c r="L657">
        <f t="shared" si="30"/>
        <v>437</v>
      </c>
      <c r="M657" s="4">
        <f t="shared" si="31"/>
        <v>72.833333333333329</v>
      </c>
      <c r="N657" t="str" cm="1">
        <f t="array" ref="N657">_xlfn.IFS(M657&gt;=70,"A",M657&gt;=60,"B",M657&gt;=50,"C",M657&gt;=45,"D",M657&gt;=40,"E",TRUE,"F")</f>
        <v>A</v>
      </c>
      <c r="O657">
        <f t="shared" si="32"/>
        <v>7</v>
      </c>
    </row>
    <row r="658" spans="1:15" x14ac:dyDescent="0.35">
      <c r="A658" s="2" t="s">
        <v>617</v>
      </c>
      <c r="B658" s="2" t="s">
        <v>618</v>
      </c>
      <c r="C658" s="2" t="s">
        <v>18</v>
      </c>
      <c r="D658" s="2" t="s">
        <v>568</v>
      </c>
      <c r="E658" s="2" t="s">
        <v>17</v>
      </c>
      <c r="F658" s="2">
        <v>67</v>
      </c>
      <c r="G658" s="2">
        <v>59</v>
      </c>
      <c r="H658" s="2">
        <v>65</v>
      </c>
      <c r="I658" s="2">
        <v>63</v>
      </c>
      <c r="J658" s="2">
        <v>77</v>
      </c>
      <c r="K658" s="2">
        <v>81</v>
      </c>
      <c r="L658">
        <f t="shared" si="30"/>
        <v>412</v>
      </c>
      <c r="M658" s="4">
        <f t="shared" si="31"/>
        <v>68.666666666666671</v>
      </c>
      <c r="N658" t="str" cm="1">
        <f t="array" ref="N658">_xlfn.IFS(M658&gt;=70,"A",M658&gt;=60,"B",M658&gt;=50,"C",M658&gt;=45,"D",M658&gt;=40,"E",TRUE,"F")</f>
        <v>B</v>
      </c>
      <c r="O658">
        <f t="shared" si="32"/>
        <v>14</v>
      </c>
    </row>
    <row r="659" spans="1:15" x14ac:dyDescent="0.35">
      <c r="A659" s="2" t="s">
        <v>619</v>
      </c>
      <c r="B659" s="2" t="s">
        <v>620</v>
      </c>
      <c r="C659" s="2" t="s">
        <v>18</v>
      </c>
      <c r="D659" s="2" t="s">
        <v>568</v>
      </c>
      <c r="E659" s="2" t="s">
        <v>20</v>
      </c>
      <c r="F659" s="2">
        <v>91</v>
      </c>
      <c r="G659" s="2">
        <v>81</v>
      </c>
      <c r="H659" s="2">
        <v>80</v>
      </c>
      <c r="I659" s="2">
        <v>94</v>
      </c>
      <c r="J659" s="2">
        <v>92</v>
      </c>
      <c r="K659" s="2">
        <v>98</v>
      </c>
      <c r="L659">
        <f t="shared" si="30"/>
        <v>536</v>
      </c>
      <c r="M659" s="4">
        <f t="shared" si="31"/>
        <v>89.333333333333329</v>
      </c>
      <c r="N659" t="str" cm="1">
        <f t="array" ref="N659">_xlfn.IFS(M659&gt;=70,"A",M659&gt;=60,"B",M659&gt;=50,"C",M659&gt;=45,"D",M659&gt;=40,"E",TRUE,"F")</f>
        <v>A</v>
      </c>
      <c r="O659">
        <f t="shared" si="32"/>
        <v>2</v>
      </c>
    </row>
    <row r="660" spans="1:15" x14ac:dyDescent="0.35">
      <c r="A660" s="2" t="s">
        <v>619</v>
      </c>
      <c r="B660" s="2" t="s">
        <v>620</v>
      </c>
      <c r="C660" s="2" t="s">
        <v>18</v>
      </c>
      <c r="D660" s="2" t="s">
        <v>568</v>
      </c>
      <c r="E660" s="2" t="s">
        <v>15</v>
      </c>
      <c r="F660" s="2">
        <v>64</v>
      </c>
      <c r="G660" s="2">
        <v>72</v>
      </c>
      <c r="H660" s="2">
        <v>69</v>
      </c>
      <c r="I660" s="2">
        <v>87</v>
      </c>
      <c r="J660" s="2">
        <v>76</v>
      </c>
      <c r="K660" s="2">
        <v>66</v>
      </c>
      <c r="L660">
        <f t="shared" si="30"/>
        <v>434</v>
      </c>
      <c r="M660" s="4">
        <f t="shared" si="31"/>
        <v>72.333333333333329</v>
      </c>
      <c r="N660" t="str" cm="1">
        <f t="array" ref="N660">_xlfn.IFS(M660&gt;=70,"A",M660&gt;=60,"B",M660&gt;=50,"C",M660&gt;=45,"D",M660&gt;=40,"E",TRUE,"F")</f>
        <v>A</v>
      </c>
      <c r="O660">
        <f t="shared" si="32"/>
        <v>9</v>
      </c>
    </row>
    <row r="661" spans="1:15" x14ac:dyDescent="0.35">
      <c r="A661" s="2" t="s">
        <v>619</v>
      </c>
      <c r="B661" s="2" t="s">
        <v>620</v>
      </c>
      <c r="C661" s="2" t="s">
        <v>18</v>
      </c>
      <c r="D661" s="2" t="s">
        <v>568</v>
      </c>
      <c r="E661" s="2" t="s">
        <v>17</v>
      </c>
      <c r="F661" s="2">
        <v>72</v>
      </c>
      <c r="G661" s="2">
        <v>79</v>
      </c>
      <c r="H661" s="2">
        <v>75</v>
      </c>
      <c r="I661" s="2">
        <v>79</v>
      </c>
      <c r="J661" s="2">
        <v>89</v>
      </c>
      <c r="K661" s="2">
        <v>98</v>
      </c>
      <c r="L661">
        <f t="shared" si="30"/>
        <v>492</v>
      </c>
      <c r="M661" s="4">
        <f t="shared" si="31"/>
        <v>82</v>
      </c>
      <c r="N661" t="str" cm="1">
        <f t="array" ref="N661">_xlfn.IFS(M661&gt;=70,"A",M661&gt;=60,"B",M661&gt;=50,"C",M661&gt;=45,"D",M661&gt;=40,"E",TRUE,"F")</f>
        <v>A</v>
      </c>
      <c r="O661">
        <f t="shared" si="32"/>
        <v>3</v>
      </c>
    </row>
    <row r="662" spans="1:15" x14ac:dyDescent="0.35">
      <c r="A662" s="2" t="s">
        <v>621</v>
      </c>
      <c r="B662" s="2" t="s">
        <v>622</v>
      </c>
      <c r="C662" s="2" t="s">
        <v>23</v>
      </c>
      <c r="D662" s="2" t="s">
        <v>568</v>
      </c>
      <c r="E662" s="2" t="s">
        <v>15</v>
      </c>
      <c r="F662" s="2">
        <v>63</v>
      </c>
      <c r="G662" s="2">
        <v>60</v>
      </c>
      <c r="H662" s="2">
        <v>53</v>
      </c>
      <c r="I662" s="2">
        <v>70</v>
      </c>
      <c r="J662" s="2">
        <v>82</v>
      </c>
      <c r="K662" s="2">
        <v>66</v>
      </c>
      <c r="L662">
        <f t="shared" si="30"/>
        <v>394</v>
      </c>
      <c r="M662" s="4">
        <f t="shared" si="31"/>
        <v>65.666666666666671</v>
      </c>
      <c r="N662" t="str" cm="1">
        <f t="array" ref="N662">_xlfn.IFS(M662&gt;=70,"A",M662&gt;=60,"B",M662&gt;=50,"C",M662&gt;=45,"D",M662&gt;=40,"E",TRUE,"F")</f>
        <v>B</v>
      </c>
      <c r="O662">
        <f t="shared" si="32"/>
        <v>15</v>
      </c>
    </row>
    <row r="663" spans="1:15" x14ac:dyDescent="0.35">
      <c r="A663" s="2" t="s">
        <v>621</v>
      </c>
      <c r="B663" s="2" t="s">
        <v>622</v>
      </c>
      <c r="C663" s="2" t="s">
        <v>23</v>
      </c>
      <c r="D663" s="2" t="s">
        <v>568</v>
      </c>
      <c r="E663" s="2" t="s">
        <v>17</v>
      </c>
      <c r="F663" s="2">
        <v>56</v>
      </c>
      <c r="G663" s="2">
        <v>63</v>
      </c>
      <c r="H663" s="2">
        <v>55</v>
      </c>
      <c r="I663" s="2">
        <v>72</v>
      </c>
      <c r="J663" s="2">
        <v>74</v>
      </c>
      <c r="K663" s="2">
        <v>68</v>
      </c>
      <c r="L663">
        <f t="shared" si="30"/>
        <v>388</v>
      </c>
      <c r="M663" s="4">
        <f t="shared" si="31"/>
        <v>64.666666666666671</v>
      </c>
      <c r="N663" t="str" cm="1">
        <f t="array" ref="N663">_xlfn.IFS(M663&gt;=70,"A",M663&gt;=60,"B",M663&gt;=50,"C",M663&gt;=45,"D",M663&gt;=40,"E",TRUE,"F")</f>
        <v>B</v>
      </c>
      <c r="O663">
        <f t="shared" si="32"/>
        <v>21</v>
      </c>
    </row>
    <row r="664" spans="1:15" x14ac:dyDescent="0.35">
      <c r="A664" s="2" t="s">
        <v>621</v>
      </c>
      <c r="B664" s="2" t="s">
        <v>622</v>
      </c>
      <c r="C664" s="2" t="s">
        <v>23</v>
      </c>
      <c r="D664" s="2" t="s">
        <v>568</v>
      </c>
      <c r="E664" s="2" t="s">
        <v>20</v>
      </c>
      <c r="F664" s="2">
        <v>39</v>
      </c>
      <c r="G664" s="2">
        <v>54</v>
      </c>
      <c r="H664" s="2">
        <v>55</v>
      </c>
      <c r="I664" s="2">
        <v>61</v>
      </c>
      <c r="J664" s="2">
        <v>61</v>
      </c>
      <c r="K664" s="2">
        <v>64</v>
      </c>
      <c r="L664">
        <f t="shared" si="30"/>
        <v>334</v>
      </c>
      <c r="M664" s="4">
        <f t="shared" si="31"/>
        <v>55.666666666666664</v>
      </c>
      <c r="N664" t="str" cm="1">
        <f t="array" ref="N664">_xlfn.IFS(M664&gt;=70,"A",M664&gt;=60,"B",M664&gt;=50,"C",M664&gt;=45,"D",M664&gt;=40,"E",TRUE,"F")</f>
        <v>C</v>
      </c>
      <c r="O664">
        <f t="shared" si="32"/>
        <v>33</v>
      </c>
    </row>
    <row r="665" spans="1:15" x14ac:dyDescent="0.35">
      <c r="A665" s="2" t="s">
        <v>624</v>
      </c>
      <c r="B665" s="2" t="s">
        <v>625</v>
      </c>
      <c r="C665" s="2" t="s">
        <v>18</v>
      </c>
      <c r="D665" s="2" t="s">
        <v>568</v>
      </c>
      <c r="E665" s="2" t="s">
        <v>15</v>
      </c>
      <c r="F665" s="2">
        <v>35</v>
      </c>
      <c r="G665" s="2">
        <v>46</v>
      </c>
      <c r="H665" s="2">
        <v>50</v>
      </c>
      <c r="I665" s="2">
        <v>44</v>
      </c>
      <c r="J665" s="2">
        <v>54</v>
      </c>
      <c r="K665" s="2">
        <v>56</v>
      </c>
      <c r="L665">
        <f t="shared" si="30"/>
        <v>285</v>
      </c>
      <c r="M665" s="4">
        <f t="shared" si="31"/>
        <v>47.5</v>
      </c>
      <c r="N665" t="str" cm="1">
        <f t="array" ref="N665">_xlfn.IFS(M665&gt;=70,"A",M665&gt;=60,"B",M665&gt;=50,"C",M665&gt;=45,"D",M665&gt;=40,"E",TRUE,"F")</f>
        <v>D</v>
      </c>
      <c r="O665">
        <f t="shared" si="32"/>
        <v>36</v>
      </c>
    </row>
    <row r="666" spans="1:15" x14ac:dyDescent="0.35">
      <c r="A666" s="2" t="s">
        <v>624</v>
      </c>
      <c r="B666" s="2" t="s">
        <v>625</v>
      </c>
      <c r="C666" s="2" t="s">
        <v>18</v>
      </c>
      <c r="D666" s="2" t="s">
        <v>568</v>
      </c>
      <c r="E666" s="2" t="s">
        <v>17</v>
      </c>
      <c r="F666" s="2">
        <v>54</v>
      </c>
      <c r="G666" s="2">
        <v>51</v>
      </c>
      <c r="H666" s="2">
        <v>38</v>
      </c>
      <c r="I666" s="2">
        <v>59</v>
      </c>
      <c r="J666" s="2">
        <v>69</v>
      </c>
      <c r="K666" s="2">
        <v>70</v>
      </c>
      <c r="L666">
        <f t="shared" si="30"/>
        <v>341</v>
      </c>
      <c r="M666" s="4">
        <f t="shared" si="31"/>
        <v>56.833333333333336</v>
      </c>
      <c r="N666" t="str" cm="1">
        <f t="array" ref="N666">_xlfn.IFS(M666&gt;=70,"A",M666&gt;=60,"B",M666&gt;=50,"C",M666&gt;=45,"D",M666&gt;=40,"E",TRUE,"F")</f>
        <v>C</v>
      </c>
      <c r="O666">
        <f t="shared" si="32"/>
        <v>30</v>
      </c>
    </row>
    <row r="667" spans="1:15" x14ac:dyDescent="0.35">
      <c r="A667" s="2" t="s">
        <v>624</v>
      </c>
      <c r="B667" s="2" t="s">
        <v>625</v>
      </c>
      <c r="C667" s="2" t="s">
        <v>18</v>
      </c>
      <c r="D667" s="2" t="s">
        <v>568</v>
      </c>
      <c r="E667" s="2" t="s">
        <v>20</v>
      </c>
      <c r="F667" s="2">
        <v>60</v>
      </c>
      <c r="G667" s="2">
        <v>72</v>
      </c>
      <c r="H667" s="2">
        <v>55</v>
      </c>
      <c r="I667" s="2">
        <v>69</v>
      </c>
      <c r="J667" s="2">
        <v>59</v>
      </c>
      <c r="K667" s="2">
        <v>62</v>
      </c>
      <c r="L667">
        <f t="shared" si="30"/>
        <v>377</v>
      </c>
      <c r="M667" s="4">
        <f t="shared" si="31"/>
        <v>62.833333333333336</v>
      </c>
      <c r="N667" t="str" cm="1">
        <f t="array" ref="N667">_xlfn.IFS(M667&gt;=70,"A",M667&gt;=60,"B",M667&gt;=50,"C",M667&gt;=45,"D",M667&gt;=40,"E",TRUE,"F")</f>
        <v>B</v>
      </c>
      <c r="O667">
        <f t="shared" si="32"/>
        <v>27</v>
      </c>
    </row>
    <row r="668" spans="1:15" x14ac:dyDescent="0.35">
      <c r="A668" s="2" t="s">
        <v>626</v>
      </c>
      <c r="B668" s="2" t="s">
        <v>627</v>
      </c>
      <c r="C668" s="2" t="s">
        <v>23</v>
      </c>
      <c r="D668" s="2" t="s">
        <v>568</v>
      </c>
      <c r="E668" s="2" t="s">
        <v>20</v>
      </c>
      <c r="F668" s="2">
        <v>64</v>
      </c>
      <c r="G668" s="2">
        <v>59</v>
      </c>
      <c r="H668" s="2">
        <v>69</v>
      </c>
      <c r="I668" s="2">
        <v>76</v>
      </c>
      <c r="J668" s="2">
        <v>80</v>
      </c>
      <c r="K668" s="2">
        <v>62</v>
      </c>
      <c r="L668">
        <f t="shared" si="30"/>
        <v>410</v>
      </c>
      <c r="M668" s="4">
        <f t="shared" si="31"/>
        <v>68.333333333333329</v>
      </c>
      <c r="N668" t="str" cm="1">
        <f t="array" ref="N668">_xlfn.IFS(M668&gt;=70,"A",M668&gt;=60,"B",M668&gt;=50,"C",M668&gt;=45,"D",M668&gt;=40,"E",TRUE,"F")</f>
        <v>B</v>
      </c>
      <c r="O668">
        <f t="shared" si="32"/>
        <v>20</v>
      </c>
    </row>
    <row r="669" spans="1:15" x14ac:dyDescent="0.35">
      <c r="A669" s="2" t="s">
        <v>626</v>
      </c>
      <c r="B669" s="2" t="s">
        <v>627</v>
      </c>
      <c r="C669" s="2" t="s">
        <v>23</v>
      </c>
      <c r="D669" s="2" t="s">
        <v>568</v>
      </c>
      <c r="E669" s="2" t="s">
        <v>15</v>
      </c>
      <c r="F669" s="2">
        <v>53</v>
      </c>
      <c r="G669" s="2">
        <v>54</v>
      </c>
      <c r="H669" s="2">
        <v>48</v>
      </c>
      <c r="I669" s="2">
        <v>65</v>
      </c>
      <c r="J669" s="2">
        <v>62</v>
      </c>
      <c r="K669" s="2">
        <v>72</v>
      </c>
      <c r="L669">
        <f t="shared" si="30"/>
        <v>354</v>
      </c>
      <c r="M669" s="4">
        <f t="shared" si="31"/>
        <v>59</v>
      </c>
      <c r="N669" t="str" cm="1">
        <f t="array" ref="N669">_xlfn.IFS(M669&gt;=70,"A",M669&gt;=60,"B",M669&gt;=50,"C",M669&gt;=45,"D",M669&gt;=40,"E",TRUE,"F")</f>
        <v>C</v>
      </c>
      <c r="O669">
        <f t="shared" si="32"/>
        <v>20</v>
      </c>
    </row>
    <row r="670" spans="1:15" x14ac:dyDescent="0.35">
      <c r="A670" s="2" t="s">
        <v>626</v>
      </c>
      <c r="B670" s="2" t="s">
        <v>627</v>
      </c>
      <c r="C670" s="2" t="s">
        <v>23</v>
      </c>
      <c r="D670" s="2" t="s">
        <v>568</v>
      </c>
      <c r="E670" s="2" t="s">
        <v>17</v>
      </c>
      <c r="F670" s="2">
        <v>44</v>
      </c>
      <c r="G670" s="2">
        <v>56</v>
      </c>
      <c r="H670" s="2">
        <v>54</v>
      </c>
      <c r="I670" s="2">
        <v>61</v>
      </c>
      <c r="J670" s="2">
        <v>68</v>
      </c>
      <c r="K670" s="2">
        <v>57</v>
      </c>
      <c r="L670">
        <f t="shared" si="30"/>
        <v>340</v>
      </c>
      <c r="M670" s="4">
        <f t="shared" si="31"/>
        <v>56.666666666666664</v>
      </c>
      <c r="N670" t="str" cm="1">
        <f t="array" ref="N670">_xlfn.IFS(M670&gt;=70,"A",M670&gt;=60,"B",M670&gt;=50,"C",M670&gt;=45,"D",M670&gt;=40,"E",TRUE,"F")</f>
        <v>C</v>
      </c>
      <c r="O670">
        <f t="shared" si="32"/>
        <v>32</v>
      </c>
    </row>
    <row r="671" spans="1:15" x14ac:dyDescent="0.35">
      <c r="A671" s="2" t="s">
        <v>628</v>
      </c>
      <c r="B671" s="2" t="s">
        <v>629</v>
      </c>
      <c r="C671" s="2" t="s">
        <v>23</v>
      </c>
      <c r="D671" s="2" t="s">
        <v>568</v>
      </c>
      <c r="E671" s="2" t="s">
        <v>15</v>
      </c>
      <c r="F671" s="2">
        <v>41</v>
      </c>
      <c r="G671" s="2">
        <v>55</v>
      </c>
      <c r="H671" s="2">
        <v>54</v>
      </c>
      <c r="I671" s="2">
        <v>50</v>
      </c>
      <c r="J671" s="2">
        <v>59</v>
      </c>
      <c r="K671" s="2">
        <v>56</v>
      </c>
      <c r="L671">
        <f t="shared" si="30"/>
        <v>315</v>
      </c>
      <c r="M671" s="4">
        <f t="shared" si="31"/>
        <v>52.5</v>
      </c>
      <c r="N671" t="str" cm="1">
        <f t="array" ref="N671">_xlfn.IFS(M671&gt;=70,"A",M671&gt;=60,"B",M671&gt;=50,"C",M671&gt;=45,"D",M671&gt;=40,"E",TRUE,"F")</f>
        <v>C</v>
      </c>
      <c r="O671">
        <f t="shared" si="32"/>
        <v>31</v>
      </c>
    </row>
    <row r="672" spans="1:15" x14ac:dyDescent="0.35">
      <c r="A672" s="2" t="s">
        <v>628</v>
      </c>
      <c r="B672" s="2" t="s">
        <v>629</v>
      </c>
      <c r="C672" s="2" t="s">
        <v>23</v>
      </c>
      <c r="D672" s="2" t="s">
        <v>568</v>
      </c>
      <c r="E672" s="2" t="s">
        <v>17</v>
      </c>
      <c r="F672" s="2">
        <v>45</v>
      </c>
      <c r="G672" s="2">
        <v>51</v>
      </c>
      <c r="H672" s="2">
        <v>62</v>
      </c>
      <c r="I672" s="2">
        <v>58</v>
      </c>
      <c r="J672" s="2">
        <v>57</v>
      </c>
      <c r="K672" s="2">
        <v>75</v>
      </c>
      <c r="L672">
        <f t="shared" si="30"/>
        <v>348</v>
      </c>
      <c r="M672" s="4">
        <f t="shared" si="31"/>
        <v>58</v>
      </c>
      <c r="N672" t="str" cm="1">
        <f t="array" ref="N672">_xlfn.IFS(M672&gt;=70,"A",M672&gt;=60,"B",M672&gt;=50,"C",M672&gt;=45,"D",M672&gt;=40,"E",TRUE,"F")</f>
        <v>C</v>
      </c>
      <c r="O672">
        <f t="shared" si="32"/>
        <v>26</v>
      </c>
    </row>
    <row r="673" spans="1:15" x14ac:dyDescent="0.35">
      <c r="A673" s="2" t="s">
        <v>628</v>
      </c>
      <c r="B673" s="2" t="s">
        <v>629</v>
      </c>
      <c r="C673" s="2" t="s">
        <v>23</v>
      </c>
      <c r="D673" s="2" t="s">
        <v>568</v>
      </c>
      <c r="E673" s="2" t="s">
        <v>20</v>
      </c>
      <c r="F673" s="2">
        <v>56</v>
      </c>
      <c r="G673" s="2">
        <v>52</v>
      </c>
      <c r="H673" s="2">
        <v>60</v>
      </c>
      <c r="I673" s="2">
        <v>62</v>
      </c>
      <c r="J673" s="2">
        <v>62</v>
      </c>
      <c r="K673" s="2">
        <v>69</v>
      </c>
      <c r="L673">
        <f t="shared" si="30"/>
        <v>361</v>
      </c>
      <c r="M673" s="4">
        <f t="shared" si="31"/>
        <v>60.166666666666664</v>
      </c>
      <c r="N673" t="str" cm="1">
        <f t="array" ref="N673">_xlfn.IFS(M673&gt;=70,"A",M673&gt;=60,"B",M673&gt;=50,"C",M673&gt;=45,"D",M673&gt;=40,"E",TRUE,"F")</f>
        <v>B</v>
      </c>
      <c r="O673">
        <f t="shared" si="32"/>
        <v>31</v>
      </c>
    </row>
    <row r="674" spans="1:15" x14ac:dyDescent="0.35">
      <c r="A674" s="2" t="s">
        <v>630</v>
      </c>
      <c r="B674" s="2" t="s">
        <v>632</v>
      </c>
      <c r="C674" s="2" t="s">
        <v>23</v>
      </c>
      <c r="D674" s="2" t="s">
        <v>568</v>
      </c>
      <c r="E674" s="2" t="s">
        <v>20</v>
      </c>
      <c r="F674" s="2">
        <v>57</v>
      </c>
      <c r="G674" s="2">
        <v>71</v>
      </c>
      <c r="H674" s="2">
        <v>77</v>
      </c>
      <c r="I674" s="2">
        <v>81</v>
      </c>
      <c r="J674" s="2">
        <v>81</v>
      </c>
      <c r="K674" s="2">
        <v>75</v>
      </c>
      <c r="L674">
        <f t="shared" si="30"/>
        <v>442</v>
      </c>
      <c r="M674" s="4">
        <f t="shared" si="31"/>
        <v>73.666666666666671</v>
      </c>
      <c r="N674" t="str" cm="1">
        <f t="array" ref="N674">_xlfn.IFS(M674&gt;=70,"A",M674&gt;=60,"B",M674&gt;=50,"C",M674&gt;=45,"D",M674&gt;=40,"E",TRUE,"F")</f>
        <v>A</v>
      </c>
      <c r="O674">
        <f t="shared" si="32"/>
        <v>16</v>
      </c>
    </row>
    <row r="675" spans="1:15" x14ac:dyDescent="0.35">
      <c r="A675" s="2" t="s">
        <v>630</v>
      </c>
      <c r="B675" s="2" t="s">
        <v>632</v>
      </c>
      <c r="C675" s="2" t="s">
        <v>23</v>
      </c>
      <c r="D675" s="2" t="s">
        <v>568</v>
      </c>
      <c r="E675" s="2" t="s">
        <v>15</v>
      </c>
      <c r="F675" s="2">
        <v>34</v>
      </c>
      <c r="G675" s="2">
        <v>57</v>
      </c>
      <c r="H675" s="2">
        <v>46</v>
      </c>
      <c r="I675" s="2">
        <v>62</v>
      </c>
      <c r="J675" s="2">
        <v>63</v>
      </c>
      <c r="K675" s="2">
        <v>43</v>
      </c>
      <c r="L675">
        <f t="shared" si="30"/>
        <v>305</v>
      </c>
      <c r="M675" s="4">
        <f t="shared" si="31"/>
        <v>50.833333333333336</v>
      </c>
      <c r="N675" t="str" cm="1">
        <f t="array" ref="N675">_xlfn.IFS(M675&gt;=70,"A",M675&gt;=60,"B",M675&gt;=50,"C",M675&gt;=45,"D",M675&gt;=40,"E",TRUE,"F")</f>
        <v>C</v>
      </c>
      <c r="O675">
        <f t="shared" si="32"/>
        <v>33</v>
      </c>
    </row>
    <row r="676" spans="1:15" x14ac:dyDescent="0.35">
      <c r="A676" s="2" t="s">
        <v>630</v>
      </c>
      <c r="B676" s="2" t="s">
        <v>632</v>
      </c>
      <c r="C676" s="2" t="s">
        <v>23</v>
      </c>
      <c r="D676" s="2" t="s">
        <v>568</v>
      </c>
      <c r="E676" s="2" t="s">
        <v>17</v>
      </c>
      <c r="F676" s="2">
        <v>60</v>
      </c>
      <c r="G676" s="2">
        <v>67</v>
      </c>
      <c r="H676" s="2">
        <v>62</v>
      </c>
      <c r="I676" s="2">
        <v>60</v>
      </c>
      <c r="J676" s="2">
        <v>75</v>
      </c>
      <c r="K676" s="2">
        <v>74</v>
      </c>
      <c r="L676">
        <f t="shared" si="30"/>
        <v>398</v>
      </c>
      <c r="M676" s="4">
        <f t="shared" si="31"/>
        <v>66.333333333333329</v>
      </c>
      <c r="N676" t="str" cm="1">
        <f t="array" ref="N676">_xlfn.IFS(M676&gt;=70,"A",M676&gt;=60,"B",M676&gt;=50,"C",M676&gt;=45,"D",M676&gt;=40,"E",TRUE,"F")</f>
        <v>B</v>
      </c>
      <c r="O676">
        <f t="shared" si="32"/>
        <v>19</v>
      </c>
    </row>
    <row r="677" spans="1:15" x14ac:dyDescent="0.35">
      <c r="A677" s="2" t="s">
        <v>633</v>
      </c>
      <c r="B677" s="2" t="s">
        <v>679</v>
      </c>
      <c r="C677" s="2" t="s">
        <v>18</v>
      </c>
      <c r="D677" s="2" t="s">
        <v>568</v>
      </c>
      <c r="E677" s="2" t="s">
        <v>20</v>
      </c>
      <c r="F677" s="2">
        <v>63</v>
      </c>
      <c r="G677" s="2">
        <v>65</v>
      </c>
      <c r="H677" s="2">
        <v>66</v>
      </c>
      <c r="I677" s="2">
        <v>72</v>
      </c>
      <c r="J677" s="2">
        <v>71</v>
      </c>
      <c r="K677" s="2">
        <v>88</v>
      </c>
      <c r="L677">
        <f t="shared" si="30"/>
        <v>425</v>
      </c>
      <c r="M677" s="4">
        <f t="shared" si="31"/>
        <v>70.833333333333329</v>
      </c>
      <c r="N677" t="str" cm="1">
        <f t="array" ref="N677">_xlfn.IFS(M677&gt;=70,"A",M677&gt;=60,"B",M677&gt;=50,"C",M677&gt;=45,"D",M677&gt;=40,"E",TRUE,"F")</f>
        <v>A</v>
      </c>
      <c r="O677">
        <f t="shared" si="32"/>
        <v>18</v>
      </c>
    </row>
    <row r="678" spans="1:15" x14ac:dyDescent="0.35">
      <c r="A678" s="2" t="s">
        <v>633</v>
      </c>
      <c r="B678" s="2" t="s">
        <v>679</v>
      </c>
      <c r="C678" s="2" t="s">
        <v>18</v>
      </c>
      <c r="D678" s="2" t="s">
        <v>568</v>
      </c>
      <c r="E678" s="2" t="s">
        <v>15</v>
      </c>
      <c r="F678" s="2">
        <v>56</v>
      </c>
      <c r="G678" s="2">
        <v>64</v>
      </c>
      <c r="H678" s="2">
        <v>66</v>
      </c>
      <c r="I678" s="2">
        <v>61</v>
      </c>
      <c r="J678" s="2">
        <v>61</v>
      </c>
      <c r="K678" s="2">
        <v>63</v>
      </c>
      <c r="L678">
        <f t="shared" si="30"/>
        <v>371</v>
      </c>
      <c r="M678" s="4">
        <f t="shared" si="31"/>
        <v>61.833333333333336</v>
      </c>
      <c r="N678" t="str" cm="1">
        <f t="array" ref="N678">_xlfn.IFS(M678&gt;=70,"A",M678&gt;=60,"B",M678&gt;=50,"C",M678&gt;=45,"D",M678&gt;=40,"E",TRUE,"F")</f>
        <v>B</v>
      </c>
      <c r="O678">
        <f t="shared" si="32"/>
        <v>18</v>
      </c>
    </row>
    <row r="679" spans="1:15" x14ac:dyDescent="0.35">
      <c r="A679" s="2" t="s">
        <v>633</v>
      </c>
      <c r="B679" s="2" t="s">
        <v>679</v>
      </c>
      <c r="C679" s="2" t="s">
        <v>18</v>
      </c>
      <c r="D679" s="2" t="s">
        <v>568</v>
      </c>
      <c r="E679" s="2" t="s">
        <v>17</v>
      </c>
      <c r="F679" s="2">
        <v>53</v>
      </c>
      <c r="G679" s="2">
        <v>60</v>
      </c>
      <c r="H679" s="2">
        <v>58</v>
      </c>
      <c r="I679" s="2">
        <v>59</v>
      </c>
      <c r="J679" s="2">
        <v>63</v>
      </c>
      <c r="K679" s="2">
        <v>64</v>
      </c>
      <c r="L679">
        <f t="shared" si="30"/>
        <v>357</v>
      </c>
      <c r="M679" s="4">
        <f t="shared" si="31"/>
        <v>59.5</v>
      </c>
      <c r="N679" t="str" cm="1">
        <f t="array" ref="N679">_xlfn.IFS(M679&gt;=70,"A",M679&gt;=60,"B",M679&gt;=50,"C",M679&gt;=45,"D",M679&gt;=40,"E",TRUE,"F")</f>
        <v>C</v>
      </c>
      <c r="O679">
        <f t="shared" si="32"/>
        <v>23</v>
      </c>
    </row>
    <row r="680" spans="1:15" x14ac:dyDescent="0.35">
      <c r="A680" s="2" t="s">
        <v>636</v>
      </c>
      <c r="B680" s="2" t="s">
        <v>637</v>
      </c>
      <c r="C680" s="2" t="s">
        <v>23</v>
      </c>
      <c r="D680" s="2" t="s">
        <v>568</v>
      </c>
      <c r="E680" s="2" t="s">
        <v>20</v>
      </c>
      <c r="F680" s="2">
        <v>66</v>
      </c>
      <c r="G680" s="2">
        <v>62</v>
      </c>
      <c r="H680" s="2">
        <v>65</v>
      </c>
      <c r="I680" s="2">
        <v>72</v>
      </c>
      <c r="J680" s="2">
        <v>57</v>
      </c>
      <c r="K680" s="2">
        <v>78</v>
      </c>
      <c r="L680">
        <f t="shared" si="30"/>
        <v>400</v>
      </c>
      <c r="M680" s="4">
        <f t="shared" si="31"/>
        <v>66.666666666666671</v>
      </c>
      <c r="N680" t="str" cm="1">
        <f t="array" ref="N680">_xlfn.IFS(M680&gt;=70,"A",M680&gt;=60,"B",M680&gt;=50,"C",M680&gt;=45,"D",M680&gt;=40,"E",TRUE,"F")</f>
        <v>B</v>
      </c>
      <c r="O680">
        <f t="shared" si="32"/>
        <v>22</v>
      </c>
    </row>
    <row r="681" spans="1:15" x14ac:dyDescent="0.35">
      <c r="A681" s="2" t="s">
        <v>636</v>
      </c>
      <c r="B681" s="2" t="s">
        <v>637</v>
      </c>
      <c r="C681" s="2" t="s">
        <v>23</v>
      </c>
      <c r="D681" s="2" t="s">
        <v>568</v>
      </c>
      <c r="E681" s="2" t="s">
        <v>15</v>
      </c>
      <c r="F681" s="2">
        <v>69</v>
      </c>
      <c r="G681" s="2">
        <v>57</v>
      </c>
      <c r="H681" s="2">
        <v>57</v>
      </c>
      <c r="I681" s="2">
        <v>78</v>
      </c>
      <c r="J681" s="2">
        <v>80</v>
      </c>
      <c r="K681" s="2">
        <v>72</v>
      </c>
      <c r="L681">
        <f t="shared" si="30"/>
        <v>413</v>
      </c>
      <c r="M681" s="4">
        <f t="shared" si="31"/>
        <v>68.833333333333329</v>
      </c>
      <c r="N681" t="str" cm="1">
        <f t="array" ref="N681">_xlfn.IFS(M681&gt;=70,"A",M681&gt;=60,"B",M681&gt;=50,"C",M681&gt;=45,"D",M681&gt;=40,"E",TRUE,"F")</f>
        <v>B</v>
      </c>
      <c r="O681">
        <f t="shared" si="32"/>
        <v>13</v>
      </c>
    </row>
    <row r="682" spans="1:15" x14ac:dyDescent="0.35">
      <c r="A682" s="2" t="s">
        <v>636</v>
      </c>
      <c r="B682" s="2" t="s">
        <v>637</v>
      </c>
      <c r="C682" s="2" t="s">
        <v>23</v>
      </c>
      <c r="D682" s="2" t="s">
        <v>568</v>
      </c>
      <c r="E682" s="2" t="s">
        <v>17</v>
      </c>
      <c r="F682" s="2">
        <v>63</v>
      </c>
      <c r="G682" s="2">
        <v>67</v>
      </c>
      <c r="H682" s="2">
        <v>64</v>
      </c>
      <c r="I682" s="2">
        <v>76</v>
      </c>
      <c r="J682" s="2">
        <v>65</v>
      </c>
      <c r="K682" s="2">
        <v>69</v>
      </c>
      <c r="L682">
        <f t="shared" si="30"/>
        <v>404</v>
      </c>
      <c r="M682" s="4">
        <f t="shared" si="31"/>
        <v>67.333333333333329</v>
      </c>
      <c r="N682" t="str" cm="1">
        <f t="array" ref="N682">_xlfn.IFS(M682&gt;=70,"A",M682&gt;=60,"B",M682&gt;=50,"C",M682&gt;=45,"D",M682&gt;=40,"E",TRUE,"F")</f>
        <v>B</v>
      </c>
      <c r="O682">
        <f t="shared" si="32"/>
        <v>16</v>
      </c>
    </row>
    <row r="683" spans="1:15" x14ac:dyDescent="0.35">
      <c r="A683" s="2" t="s">
        <v>638</v>
      </c>
      <c r="B683" s="2" t="s">
        <v>641</v>
      </c>
      <c r="C683" s="2" t="s">
        <v>23</v>
      </c>
      <c r="D683" s="2" t="s">
        <v>568</v>
      </c>
      <c r="E683" s="2" t="s">
        <v>20</v>
      </c>
      <c r="F683" s="2">
        <v>68</v>
      </c>
      <c r="G683" s="2">
        <v>90</v>
      </c>
      <c r="H683" s="2">
        <v>79</v>
      </c>
      <c r="I683" s="2">
        <v>67</v>
      </c>
      <c r="J683" s="2">
        <v>74</v>
      </c>
      <c r="K683" s="2">
        <v>87</v>
      </c>
      <c r="L683">
        <f t="shared" si="30"/>
        <v>465</v>
      </c>
      <c r="M683" s="4">
        <f t="shared" si="31"/>
        <v>77.5</v>
      </c>
      <c r="N683" t="str" cm="1">
        <f t="array" ref="N683">_xlfn.IFS(M683&gt;=70,"A",M683&gt;=60,"B",M683&gt;=50,"C",M683&gt;=45,"D",M683&gt;=40,"E",TRUE,"F")</f>
        <v>A</v>
      </c>
      <c r="O683">
        <f t="shared" si="32"/>
        <v>9</v>
      </c>
    </row>
    <row r="684" spans="1:15" x14ac:dyDescent="0.35">
      <c r="A684" s="2" t="s">
        <v>638</v>
      </c>
      <c r="B684" s="2" t="s">
        <v>641</v>
      </c>
      <c r="C684" s="2" t="s">
        <v>23</v>
      </c>
      <c r="D684" s="2" t="s">
        <v>568</v>
      </c>
      <c r="E684" s="2" t="s">
        <v>15</v>
      </c>
      <c r="F684" s="2">
        <v>67</v>
      </c>
      <c r="G684" s="2">
        <v>86</v>
      </c>
      <c r="H684" s="2">
        <v>89</v>
      </c>
      <c r="I684" s="2">
        <v>65</v>
      </c>
      <c r="J684" s="2">
        <v>77</v>
      </c>
      <c r="K684" s="2">
        <v>76</v>
      </c>
      <c r="L684">
        <f t="shared" si="30"/>
        <v>460</v>
      </c>
      <c r="M684" s="4">
        <f t="shared" si="31"/>
        <v>76.666666666666671</v>
      </c>
      <c r="N684" t="str" cm="1">
        <f t="array" ref="N684">_xlfn.IFS(M684&gt;=70,"A",M684&gt;=60,"B",M684&gt;=50,"C",M684&gt;=45,"D",M684&gt;=40,"E",TRUE,"F")</f>
        <v>A</v>
      </c>
      <c r="O684">
        <f t="shared" si="32"/>
        <v>4</v>
      </c>
    </row>
    <row r="685" spans="1:15" x14ac:dyDescent="0.35">
      <c r="A685" s="2" t="s">
        <v>638</v>
      </c>
      <c r="B685" s="2" t="s">
        <v>641</v>
      </c>
      <c r="C685" s="2" t="s">
        <v>23</v>
      </c>
      <c r="D685" s="2" t="s">
        <v>568</v>
      </c>
      <c r="E685" s="2" t="s">
        <v>17</v>
      </c>
      <c r="F685" s="2">
        <v>65</v>
      </c>
      <c r="G685" s="2">
        <v>64</v>
      </c>
      <c r="H685" s="2">
        <v>62</v>
      </c>
      <c r="I685" s="2">
        <v>61</v>
      </c>
      <c r="J685" s="2">
        <v>71</v>
      </c>
      <c r="K685" s="2">
        <v>81</v>
      </c>
      <c r="L685">
        <f t="shared" si="30"/>
        <v>404</v>
      </c>
      <c r="M685" s="4">
        <f t="shared" si="31"/>
        <v>67.333333333333329</v>
      </c>
      <c r="N685" t="str" cm="1">
        <f t="array" ref="N685">_xlfn.IFS(M685&gt;=70,"A",M685&gt;=60,"B",M685&gt;=50,"C",M685&gt;=45,"D",M685&gt;=40,"E",TRUE,"F")</f>
        <v>B</v>
      </c>
      <c r="O685">
        <f t="shared" si="32"/>
        <v>16</v>
      </c>
    </row>
    <row r="686" spans="1:15" x14ac:dyDescent="0.35">
      <c r="A686" s="2" t="s">
        <v>642</v>
      </c>
      <c r="B686" s="2" t="s">
        <v>643</v>
      </c>
      <c r="C686" s="2" t="s">
        <v>23</v>
      </c>
      <c r="D686" s="2" t="s">
        <v>568</v>
      </c>
      <c r="E686" s="2" t="s">
        <v>15</v>
      </c>
      <c r="F686" s="2">
        <v>49</v>
      </c>
      <c r="G686" s="2">
        <v>52</v>
      </c>
      <c r="H686" s="2">
        <v>40</v>
      </c>
      <c r="I686" s="2">
        <v>52</v>
      </c>
      <c r="J686" s="2">
        <v>38</v>
      </c>
      <c r="K686" s="2">
        <v>66</v>
      </c>
      <c r="L686">
        <f t="shared" si="30"/>
        <v>297</v>
      </c>
      <c r="M686" s="4">
        <f t="shared" si="31"/>
        <v>49.5</v>
      </c>
      <c r="N686" t="str" cm="1">
        <f t="array" ref="N686">_xlfn.IFS(M686&gt;=70,"A",M686&gt;=60,"B",M686&gt;=50,"C",M686&gt;=45,"D",M686&gt;=40,"E",TRUE,"F")</f>
        <v>D</v>
      </c>
      <c r="O686">
        <f t="shared" si="32"/>
        <v>35</v>
      </c>
    </row>
    <row r="687" spans="1:15" x14ac:dyDescent="0.35">
      <c r="A687" s="2" t="s">
        <v>642</v>
      </c>
      <c r="B687" s="2" t="s">
        <v>643</v>
      </c>
      <c r="C687" s="2" t="s">
        <v>23</v>
      </c>
      <c r="D687" s="2" t="s">
        <v>568</v>
      </c>
      <c r="E687" s="2" t="s">
        <v>17</v>
      </c>
      <c r="F687" s="2">
        <v>54</v>
      </c>
      <c r="G687" s="2">
        <v>59</v>
      </c>
      <c r="H687" s="2">
        <v>51</v>
      </c>
      <c r="I687" s="2">
        <v>49</v>
      </c>
      <c r="J687" s="2">
        <v>58</v>
      </c>
      <c r="K687" s="2">
        <v>66</v>
      </c>
      <c r="L687">
        <f t="shared" si="30"/>
        <v>337</v>
      </c>
      <c r="M687" s="4">
        <f t="shared" si="31"/>
        <v>56.166666666666664</v>
      </c>
      <c r="N687" t="str" cm="1">
        <f t="array" ref="N687">_xlfn.IFS(M687&gt;=70,"A",M687&gt;=60,"B",M687&gt;=50,"C",M687&gt;=45,"D",M687&gt;=40,"E",TRUE,"F")</f>
        <v>C</v>
      </c>
      <c r="O687">
        <f t="shared" si="32"/>
        <v>33</v>
      </c>
    </row>
    <row r="688" spans="1:15" x14ac:dyDescent="0.35">
      <c r="A688" s="2" t="s">
        <v>642</v>
      </c>
      <c r="B688" s="2" t="s">
        <v>643</v>
      </c>
      <c r="C688" s="2" t="s">
        <v>23</v>
      </c>
      <c r="D688" s="2" t="s">
        <v>568</v>
      </c>
      <c r="E688" s="2" t="s">
        <v>20</v>
      </c>
      <c r="F688" s="2">
        <v>64</v>
      </c>
      <c r="G688" s="2">
        <v>56</v>
      </c>
      <c r="H688" s="2">
        <v>47</v>
      </c>
      <c r="I688" s="2">
        <v>66</v>
      </c>
      <c r="J688" s="2">
        <v>70</v>
      </c>
      <c r="K688" s="2">
        <v>65</v>
      </c>
      <c r="L688">
        <f t="shared" si="30"/>
        <v>368</v>
      </c>
      <c r="M688" s="4">
        <f t="shared" si="31"/>
        <v>61.333333333333336</v>
      </c>
      <c r="N688" t="str" cm="1">
        <f t="array" ref="N688">_xlfn.IFS(M688&gt;=70,"A",M688&gt;=60,"B",M688&gt;=50,"C",M688&gt;=45,"D",M688&gt;=40,"E",TRUE,"F")</f>
        <v>B</v>
      </c>
      <c r="O688">
        <f t="shared" si="32"/>
        <v>29</v>
      </c>
    </row>
    <row r="689" spans="1:15" x14ac:dyDescent="0.35">
      <c r="A689" s="2" t="s">
        <v>644</v>
      </c>
      <c r="B689" s="2" t="s">
        <v>646</v>
      </c>
      <c r="C689" s="2" t="s">
        <v>18</v>
      </c>
      <c r="D689" s="2" t="s">
        <v>568</v>
      </c>
      <c r="E689" s="2" t="s">
        <v>15</v>
      </c>
      <c r="F689" s="2">
        <v>51</v>
      </c>
      <c r="G689" s="2">
        <v>65</v>
      </c>
      <c r="H689" s="2">
        <v>48</v>
      </c>
      <c r="I689" s="2">
        <v>60</v>
      </c>
      <c r="J689" s="2">
        <v>60</v>
      </c>
      <c r="K689" s="2">
        <v>63</v>
      </c>
      <c r="L689">
        <f t="shared" si="30"/>
        <v>347</v>
      </c>
      <c r="M689" s="4">
        <f t="shared" si="31"/>
        <v>57.833333333333336</v>
      </c>
      <c r="N689" t="str" cm="1">
        <f t="array" ref="N689">_xlfn.IFS(M689&gt;=70,"A",M689&gt;=60,"B",M689&gt;=50,"C",M689&gt;=45,"D",M689&gt;=40,"E",TRUE,"F")</f>
        <v>C</v>
      </c>
      <c r="O689">
        <f t="shared" si="32"/>
        <v>23</v>
      </c>
    </row>
    <row r="690" spans="1:15" x14ac:dyDescent="0.35">
      <c r="A690" s="2" t="s">
        <v>644</v>
      </c>
      <c r="B690" s="2" t="s">
        <v>646</v>
      </c>
      <c r="C690" s="2" t="s">
        <v>18</v>
      </c>
      <c r="D690" s="2" t="s">
        <v>568</v>
      </c>
      <c r="E690" s="2" t="s">
        <v>17</v>
      </c>
      <c r="F690" s="2">
        <v>48</v>
      </c>
      <c r="G690" s="2">
        <v>60</v>
      </c>
      <c r="H690" s="2">
        <v>50</v>
      </c>
      <c r="I690" s="2">
        <v>44</v>
      </c>
      <c r="J690" s="2">
        <v>59</v>
      </c>
      <c r="K690" s="2">
        <v>61</v>
      </c>
      <c r="L690">
        <f t="shared" si="30"/>
        <v>322</v>
      </c>
      <c r="M690" s="4">
        <f t="shared" si="31"/>
        <v>53.666666666666664</v>
      </c>
      <c r="N690" t="str" cm="1">
        <f t="array" ref="N690">_xlfn.IFS(M690&gt;=70,"A",M690&gt;=60,"B",M690&gt;=50,"C",M690&gt;=45,"D",M690&gt;=40,"E",TRUE,"F")</f>
        <v>C</v>
      </c>
      <c r="O690">
        <f t="shared" si="32"/>
        <v>35</v>
      </c>
    </row>
    <row r="691" spans="1:15" x14ac:dyDescent="0.35">
      <c r="A691" s="2" t="s">
        <v>644</v>
      </c>
      <c r="B691" s="2" t="s">
        <v>646</v>
      </c>
      <c r="C691" s="2" t="s">
        <v>18</v>
      </c>
      <c r="D691" s="2" t="s">
        <v>568</v>
      </c>
      <c r="E691" s="2" t="s">
        <v>20</v>
      </c>
      <c r="F691" s="2">
        <v>46</v>
      </c>
      <c r="G691" s="2">
        <v>50</v>
      </c>
      <c r="H691" s="2">
        <v>52</v>
      </c>
      <c r="I691" s="2">
        <v>45</v>
      </c>
      <c r="J691" s="2">
        <v>66</v>
      </c>
      <c r="K691" s="2">
        <v>56</v>
      </c>
      <c r="L691">
        <f t="shared" si="30"/>
        <v>315</v>
      </c>
      <c r="M691" s="4">
        <f t="shared" si="31"/>
        <v>52.5</v>
      </c>
      <c r="N691" t="str" cm="1">
        <f t="array" ref="N691">_xlfn.IFS(M691&gt;=70,"A",M691&gt;=60,"B",M691&gt;=50,"C",M691&gt;=45,"D",M691&gt;=40,"E",TRUE,"F")</f>
        <v>C</v>
      </c>
      <c r="O691">
        <f t="shared" si="32"/>
        <v>35</v>
      </c>
    </row>
    <row r="692" spans="1:15" x14ac:dyDescent="0.35">
      <c r="A692" s="2" t="s">
        <v>647</v>
      </c>
      <c r="B692" s="2" t="s">
        <v>648</v>
      </c>
      <c r="C692" s="2" t="s">
        <v>18</v>
      </c>
      <c r="D692" s="2" t="s">
        <v>568</v>
      </c>
      <c r="E692" s="2" t="s">
        <v>15</v>
      </c>
      <c r="F692" s="2">
        <v>48</v>
      </c>
      <c r="G692" s="2">
        <v>53</v>
      </c>
      <c r="H692" s="2">
        <v>44</v>
      </c>
      <c r="I692" s="2">
        <v>61</v>
      </c>
      <c r="J692" s="2">
        <v>61</v>
      </c>
      <c r="K692" s="2">
        <v>69</v>
      </c>
      <c r="L692">
        <f t="shared" si="30"/>
        <v>336</v>
      </c>
      <c r="M692" s="4">
        <f t="shared" si="31"/>
        <v>56</v>
      </c>
      <c r="N692" t="str" cm="1">
        <f t="array" ref="N692">_xlfn.IFS(M692&gt;=70,"A",M692&gt;=60,"B",M692&gt;=50,"C",M692&gt;=45,"D",M692&gt;=40,"E",TRUE,"F")</f>
        <v>C</v>
      </c>
      <c r="O692">
        <f t="shared" si="32"/>
        <v>29</v>
      </c>
    </row>
    <row r="693" spans="1:15" x14ac:dyDescent="0.35">
      <c r="A693" s="2" t="s">
        <v>647</v>
      </c>
      <c r="B693" s="2" t="s">
        <v>648</v>
      </c>
      <c r="C693" s="2" t="s">
        <v>18</v>
      </c>
      <c r="D693" s="2" t="s">
        <v>568</v>
      </c>
      <c r="E693" s="2" t="s">
        <v>17</v>
      </c>
      <c r="F693" s="2">
        <v>49</v>
      </c>
      <c r="G693" s="2">
        <v>56</v>
      </c>
      <c r="H693" s="2">
        <v>66</v>
      </c>
      <c r="I693" s="2">
        <v>56</v>
      </c>
      <c r="J693" s="2">
        <v>60</v>
      </c>
      <c r="K693" s="2">
        <v>56</v>
      </c>
      <c r="L693">
        <f t="shared" si="30"/>
        <v>343</v>
      </c>
      <c r="M693" s="4">
        <f t="shared" si="31"/>
        <v>57.166666666666664</v>
      </c>
      <c r="N693" t="str" cm="1">
        <f t="array" ref="N693">_xlfn.IFS(M693&gt;=70,"A",M693&gt;=60,"B",M693&gt;=50,"C",M693&gt;=45,"D",M693&gt;=40,"E",TRUE,"F")</f>
        <v>C</v>
      </c>
      <c r="O693">
        <f t="shared" si="32"/>
        <v>29</v>
      </c>
    </row>
    <row r="694" spans="1:15" x14ac:dyDescent="0.35">
      <c r="A694" s="2" t="s">
        <v>647</v>
      </c>
      <c r="B694" s="2" t="s">
        <v>648</v>
      </c>
      <c r="C694" s="2" t="s">
        <v>18</v>
      </c>
      <c r="D694" s="2" t="s">
        <v>568</v>
      </c>
      <c r="E694" s="2" t="s">
        <v>20</v>
      </c>
      <c r="F694" s="2">
        <v>44</v>
      </c>
      <c r="G694" s="2">
        <v>53</v>
      </c>
      <c r="H694" s="2">
        <v>40</v>
      </c>
      <c r="I694" s="2">
        <v>54</v>
      </c>
      <c r="J694" s="2">
        <v>61</v>
      </c>
      <c r="K694" s="2">
        <v>67</v>
      </c>
      <c r="L694">
        <f t="shared" si="30"/>
        <v>319</v>
      </c>
      <c r="M694" s="4">
        <f t="shared" si="31"/>
        <v>53.166666666666664</v>
      </c>
      <c r="N694" t="str" cm="1">
        <f t="array" ref="N694">_xlfn.IFS(M694&gt;=70,"A",M694&gt;=60,"B",M694&gt;=50,"C",M694&gt;=45,"D",M694&gt;=40,"E",TRUE,"F")</f>
        <v>C</v>
      </c>
      <c r="O694">
        <f t="shared" si="32"/>
        <v>34</v>
      </c>
    </row>
    <row r="695" spans="1:15" x14ac:dyDescent="0.35">
      <c r="A695" s="2" t="s">
        <v>650</v>
      </c>
      <c r="B695" s="2" t="s">
        <v>652</v>
      </c>
      <c r="C695" s="2" t="s">
        <v>23</v>
      </c>
      <c r="D695" s="2" t="s">
        <v>568</v>
      </c>
      <c r="E695" s="2" t="s">
        <v>20</v>
      </c>
      <c r="F695" s="2">
        <v>82</v>
      </c>
      <c r="G695" s="2">
        <v>82</v>
      </c>
      <c r="H695" s="2">
        <v>76</v>
      </c>
      <c r="I695" s="2">
        <v>74</v>
      </c>
      <c r="J695" s="2">
        <v>79</v>
      </c>
      <c r="K695" s="2">
        <v>89</v>
      </c>
      <c r="L695">
        <f t="shared" si="30"/>
        <v>482</v>
      </c>
      <c r="M695" s="4">
        <f t="shared" si="31"/>
        <v>80.333333333333329</v>
      </c>
      <c r="N695" t="str" cm="1">
        <f t="array" ref="N695">_xlfn.IFS(M695&gt;=70,"A",M695&gt;=60,"B",M695&gt;=50,"C",M695&gt;=45,"D",M695&gt;=40,"E",TRUE,"F")</f>
        <v>A</v>
      </c>
      <c r="O695">
        <f t="shared" si="32"/>
        <v>6</v>
      </c>
    </row>
    <row r="696" spans="1:15" x14ac:dyDescent="0.35">
      <c r="A696" s="2" t="s">
        <v>650</v>
      </c>
      <c r="B696" s="2" t="s">
        <v>652</v>
      </c>
      <c r="C696" s="2" t="s">
        <v>23</v>
      </c>
      <c r="D696" s="2" t="s">
        <v>568</v>
      </c>
      <c r="E696" s="2" t="s">
        <v>15</v>
      </c>
      <c r="F696" s="2">
        <v>71</v>
      </c>
      <c r="G696" s="2">
        <v>86</v>
      </c>
      <c r="H696" s="2">
        <v>76</v>
      </c>
      <c r="I696" s="2">
        <v>71</v>
      </c>
      <c r="J696" s="2">
        <v>75</v>
      </c>
      <c r="K696" s="2">
        <v>86</v>
      </c>
      <c r="L696">
        <f t="shared" si="30"/>
        <v>465</v>
      </c>
      <c r="M696" s="4">
        <f t="shared" si="31"/>
        <v>77.5</v>
      </c>
      <c r="N696" t="str" cm="1">
        <f t="array" ref="N696">_xlfn.IFS(M696&gt;=70,"A",M696&gt;=60,"B",M696&gt;=50,"C",M696&gt;=45,"D",M696&gt;=40,"E",TRUE,"F")</f>
        <v>A</v>
      </c>
      <c r="O696">
        <f t="shared" si="32"/>
        <v>3</v>
      </c>
    </row>
    <row r="697" spans="1:15" x14ac:dyDescent="0.35">
      <c r="A697" s="2" t="s">
        <v>650</v>
      </c>
      <c r="B697" s="2" t="s">
        <v>652</v>
      </c>
      <c r="C697" s="2" t="s">
        <v>23</v>
      </c>
      <c r="D697" s="2" t="s">
        <v>568</v>
      </c>
      <c r="E697" s="2" t="s">
        <v>17</v>
      </c>
      <c r="F697" s="2">
        <v>83</v>
      </c>
      <c r="G697" s="2">
        <v>85</v>
      </c>
      <c r="H697" s="2">
        <v>79</v>
      </c>
      <c r="I697" s="2">
        <v>91</v>
      </c>
      <c r="J697" s="2">
        <v>84</v>
      </c>
      <c r="K697" s="2">
        <v>86</v>
      </c>
      <c r="L697">
        <f t="shared" si="30"/>
        <v>508</v>
      </c>
      <c r="M697" s="4">
        <f t="shared" si="31"/>
        <v>84.666666666666671</v>
      </c>
      <c r="N697" t="str" cm="1">
        <f t="array" ref="N697">_xlfn.IFS(M697&gt;=70,"A",M697&gt;=60,"B",M697&gt;=50,"C",M697&gt;=45,"D",M697&gt;=40,"E",TRUE,"F")</f>
        <v>A</v>
      </c>
      <c r="O697">
        <f t="shared" si="32"/>
        <v>2</v>
      </c>
    </row>
    <row r="698" spans="1:15" x14ac:dyDescent="0.35">
      <c r="A698" s="2" t="s">
        <v>653</v>
      </c>
      <c r="B698" s="2" t="s">
        <v>656</v>
      </c>
      <c r="C698" s="2" t="s">
        <v>18</v>
      </c>
      <c r="D698" s="2" t="s">
        <v>568</v>
      </c>
      <c r="E698" s="2" t="s">
        <v>20</v>
      </c>
      <c r="F698" s="2">
        <v>54</v>
      </c>
      <c r="G698" s="2">
        <v>67</v>
      </c>
      <c r="H698" s="2">
        <v>61</v>
      </c>
      <c r="I698" s="2">
        <v>64</v>
      </c>
      <c r="J698" s="2">
        <v>70</v>
      </c>
      <c r="K698" s="2">
        <v>62</v>
      </c>
      <c r="L698">
        <f t="shared" si="30"/>
        <v>378</v>
      </c>
      <c r="M698" s="4">
        <f t="shared" si="31"/>
        <v>63</v>
      </c>
      <c r="N698" t="str" cm="1">
        <f t="array" ref="N698">_xlfn.IFS(M698&gt;=70,"A",M698&gt;=60,"B",M698&gt;=50,"C",M698&gt;=45,"D",M698&gt;=40,"E",TRUE,"F")</f>
        <v>B</v>
      </c>
      <c r="O698">
        <f t="shared" si="32"/>
        <v>26</v>
      </c>
    </row>
    <row r="699" spans="1:15" x14ac:dyDescent="0.35">
      <c r="A699" s="2" t="s">
        <v>653</v>
      </c>
      <c r="B699" s="2" t="s">
        <v>656</v>
      </c>
      <c r="C699" s="2" t="s">
        <v>18</v>
      </c>
      <c r="D699" s="2" t="s">
        <v>568</v>
      </c>
      <c r="E699" s="2" t="s">
        <v>15</v>
      </c>
      <c r="F699" s="2">
        <v>52</v>
      </c>
      <c r="G699" s="2">
        <v>72</v>
      </c>
      <c r="H699" s="2">
        <v>51</v>
      </c>
      <c r="I699" s="2">
        <v>47</v>
      </c>
      <c r="J699" s="2">
        <v>54</v>
      </c>
      <c r="K699" s="2">
        <v>61</v>
      </c>
      <c r="L699">
        <f t="shared" si="30"/>
        <v>337</v>
      </c>
      <c r="M699" s="4">
        <f t="shared" si="31"/>
        <v>56.166666666666664</v>
      </c>
      <c r="N699" t="str" cm="1">
        <f t="array" ref="N699">_xlfn.IFS(M699&gt;=70,"A",M699&gt;=60,"B",M699&gt;=50,"C",M699&gt;=45,"D",M699&gt;=40,"E",TRUE,"F")</f>
        <v>C</v>
      </c>
      <c r="O699">
        <f t="shared" si="32"/>
        <v>27</v>
      </c>
    </row>
    <row r="700" spans="1:15" x14ac:dyDescent="0.35">
      <c r="A700" s="2" t="s">
        <v>653</v>
      </c>
      <c r="B700" s="2" t="s">
        <v>656</v>
      </c>
      <c r="C700" s="2" t="s">
        <v>18</v>
      </c>
      <c r="D700" s="2" t="s">
        <v>568</v>
      </c>
      <c r="E700" s="2" t="s">
        <v>17</v>
      </c>
      <c r="F700" s="2">
        <v>48</v>
      </c>
      <c r="G700" s="2">
        <v>57</v>
      </c>
      <c r="H700" s="2">
        <v>60</v>
      </c>
      <c r="I700" s="2">
        <v>62</v>
      </c>
      <c r="J700" s="2">
        <v>62</v>
      </c>
      <c r="K700" s="2">
        <v>68</v>
      </c>
      <c r="L700">
        <f t="shared" si="30"/>
        <v>357</v>
      </c>
      <c r="M700" s="4">
        <f t="shared" si="31"/>
        <v>59.5</v>
      </c>
      <c r="N700" t="str" cm="1">
        <f t="array" ref="N700">_xlfn.IFS(M700&gt;=70,"A",M700&gt;=60,"B",M700&gt;=50,"C",M700&gt;=45,"D",M700&gt;=40,"E",TRUE,"F")</f>
        <v>C</v>
      </c>
      <c r="O700">
        <f t="shared" si="32"/>
        <v>23</v>
      </c>
    </row>
    <row r="701" spans="1:15" x14ac:dyDescent="0.35">
      <c r="A701" s="2" t="s">
        <v>657</v>
      </c>
      <c r="B701" s="2" t="s">
        <v>658</v>
      </c>
      <c r="C701" s="2" t="s">
        <v>18</v>
      </c>
      <c r="D701" s="2" t="s">
        <v>568</v>
      </c>
      <c r="E701" s="2" t="s">
        <v>20</v>
      </c>
      <c r="F701" s="2">
        <v>82</v>
      </c>
      <c r="G701" s="2">
        <v>81</v>
      </c>
      <c r="H701" s="2">
        <v>77</v>
      </c>
      <c r="I701" s="2">
        <v>88</v>
      </c>
      <c r="J701" s="2">
        <v>90</v>
      </c>
      <c r="K701" s="2">
        <v>98</v>
      </c>
      <c r="L701">
        <f t="shared" si="30"/>
        <v>516</v>
      </c>
      <c r="M701" s="4">
        <f t="shared" si="31"/>
        <v>86</v>
      </c>
      <c r="N701" t="str" cm="1">
        <f t="array" ref="N701">_xlfn.IFS(M701&gt;=70,"A",M701&gt;=60,"B",M701&gt;=50,"C",M701&gt;=45,"D",M701&gt;=40,"E",TRUE,"F")</f>
        <v>A</v>
      </c>
      <c r="O701">
        <f t="shared" si="32"/>
        <v>3</v>
      </c>
    </row>
    <row r="702" spans="1:15" x14ac:dyDescent="0.35">
      <c r="A702" s="2" t="s">
        <v>657</v>
      </c>
      <c r="B702" s="2" t="s">
        <v>658</v>
      </c>
      <c r="C702" s="2" t="s">
        <v>18</v>
      </c>
      <c r="D702" s="2" t="s">
        <v>568</v>
      </c>
      <c r="E702" s="2" t="s">
        <v>15</v>
      </c>
      <c r="F702" s="2">
        <v>56</v>
      </c>
      <c r="G702" s="2">
        <v>58</v>
      </c>
      <c r="H702" s="2">
        <v>61</v>
      </c>
      <c r="I702" s="2">
        <v>64</v>
      </c>
      <c r="J702" s="2">
        <v>69</v>
      </c>
      <c r="K702" s="2">
        <v>64</v>
      </c>
      <c r="L702">
        <f t="shared" si="30"/>
        <v>372</v>
      </c>
      <c r="M702" s="4">
        <f t="shared" si="31"/>
        <v>62</v>
      </c>
      <c r="N702" t="str" cm="1">
        <f t="array" ref="N702">_xlfn.IFS(M702&gt;=70,"A",M702&gt;=60,"B",M702&gt;=50,"C",M702&gt;=45,"D",M702&gt;=40,"E",TRUE,"F")</f>
        <v>B</v>
      </c>
      <c r="O702">
        <f t="shared" si="32"/>
        <v>17</v>
      </c>
    </row>
    <row r="703" spans="1:15" x14ac:dyDescent="0.35">
      <c r="A703" s="2" t="s">
        <v>657</v>
      </c>
      <c r="B703" s="2" t="s">
        <v>658</v>
      </c>
      <c r="C703" s="2" t="s">
        <v>18</v>
      </c>
      <c r="D703" s="2" t="s">
        <v>568</v>
      </c>
      <c r="E703" s="2" t="s">
        <v>17</v>
      </c>
      <c r="F703" s="2">
        <v>59</v>
      </c>
      <c r="G703" s="2">
        <v>85</v>
      </c>
      <c r="H703" s="2">
        <v>87</v>
      </c>
      <c r="I703" s="2">
        <v>88</v>
      </c>
      <c r="J703" s="2">
        <v>79</v>
      </c>
      <c r="K703" s="2">
        <v>65</v>
      </c>
      <c r="L703">
        <f t="shared" si="30"/>
        <v>463</v>
      </c>
      <c r="M703" s="4">
        <f t="shared" si="31"/>
        <v>77.166666666666671</v>
      </c>
      <c r="N703" t="str" cm="1">
        <f t="array" ref="N703">_xlfn.IFS(M703&gt;=70,"A",M703&gt;=60,"B",M703&gt;=50,"C",M703&gt;=45,"D",M703&gt;=40,"E",TRUE,"F")</f>
        <v>A</v>
      </c>
      <c r="O703">
        <f t="shared" si="32"/>
        <v>5</v>
      </c>
    </row>
    <row r="704" spans="1:15" x14ac:dyDescent="0.35">
      <c r="A704" s="2" t="s">
        <v>661</v>
      </c>
      <c r="B704" s="2" t="s">
        <v>663</v>
      </c>
      <c r="C704" s="2" t="s">
        <v>18</v>
      </c>
      <c r="D704" s="2" t="s">
        <v>568</v>
      </c>
      <c r="E704" s="2" t="s">
        <v>20</v>
      </c>
      <c r="F704" s="2">
        <v>70</v>
      </c>
      <c r="G704" s="2">
        <v>71</v>
      </c>
      <c r="H704" s="2">
        <v>76</v>
      </c>
      <c r="I704" s="2">
        <v>70</v>
      </c>
      <c r="J704" s="2">
        <v>82</v>
      </c>
      <c r="K704" s="2">
        <v>85</v>
      </c>
      <c r="L704">
        <f t="shared" si="30"/>
        <v>454</v>
      </c>
      <c r="M704" s="4">
        <f t="shared" si="31"/>
        <v>75.666666666666671</v>
      </c>
      <c r="N704" t="str" cm="1">
        <f t="array" ref="N704">_xlfn.IFS(M704&gt;=70,"A",M704&gt;=60,"B",M704&gt;=50,"C",M704&gt;=45,"D",M704&gt;=40,"E",TRUE,"F")</f>
        <v>A</v>
      </c>
      <c r="O704">
        <f t="shared" si="32"/>
        <v>13</v>
      </c>
    </row>
    <row r="705" spans="1:15" x14ac:dyDescent="0.35">
      <c r="A705" s="2" t="s">
        <v>661</v>
      </c>
      <c r="B705" s="2" t="s">
        <v>663</v>
      </c>
      <c r="C705" s="2" t="s">
        <v>18</v>
      </c>
      <c r="D705" s="2" t="s">
        <v>568</v>
      </c>
      <c r="E705" s="2" t="s">
        <v>15</v>
      </c>
      <c r="F705" s="2">
        <v>79</v>
      </c>
      <c r="G705" s="2">
        <v>73</v>
      </c>
      <c r="H705" s="2">
        <v>64</v>
      </c>
      <c r="I705" s="2">
        <v>75</v>
      </c>
      <c r="J705" s="2">
        <v>65</v>
      </c>
      <c r="K705" s="2">
        <v>74</v>
      </c>
      <c r="L705">
        <f t="shared" si="30"/>
        <v>430</v>
      </c>
      <c r="M705" s="4">
        <f t="shared" si="31"/>
        <v>71.666666666666671</v>
      </c>
      <c r="N705" t="str" cm="1">
        <f t="array" ref="N705">_xlfn.IFS(M705&gt;=70,"A",M705&gt;=60,"B",M705&gt;=50,"C",M705&gt;=45,"D",M705&gt;=40,"E",TRUE,"F")</f>
        <v>A</v>
      </c>
      <c r="O705">
        <f t="shared" si="32"/>
        <v>10</v>
      </c>
    </row>
    <row r="706" spans="1:15" x14ac:dyDescent="0.35">
      <c r="A706" s="2" t="s">
        <v>661</v>
      </c>
      <c r="B706" s="2" t="s">
        <v>663</v>
      </c>
      <c r="C706" s="2" t="s">
        <v>18</v>
      </c>
      <c r="D706" s="2" t="s">
        <v>568</v>
      </c>
      <c r="E706" s="2" t="s">
        <v>17</v>
      </c>
      <c r="F706" s="2">
        <v>57</v>
      </c>
      <c r="G706" s="2">
        <v>77</v>
      </c>
      <c r="H706" s="2">
        <v>78</v>
      </c>
      <c r="I706" s="2">
        <v>72</v>
      </c>
      <c r="J706" s="2">
        <v>78</v>
      </c>
      <c r="K706" s="2">
        <v>79</v>
      </c>
      <c r="L706">
        <f t="shared" ref="L706:L721" si="33">SUM(F706:K706)</f>
        <v>441</v>
      </c>
      <c r="M706" s="4">
        <f t="shared" ref="M706:M721" si="34">AVERAGE(F706:K706)</f>
        <v>73.5</v>
      </c>
      <c r="N706" t="str" cm="1">
        <f t="array" ref="N706">_xlfn.IFS(M706&gt;=70,"A",M706&gt;=60,"B",M706&gt;=50,"C",M706&gt;=45,"D",M706&gt;=40,"E",TRUE,"F")</f>
        <v>A</v>
      </c>
      <c r="O706">
        <f t="shared" ref="O706:O721" si="35">COUNTIFS($D$2:$D$721,D706,$E$2:$E$721,E706,$M$2:$M$721,"&gt;"&amp;M706)+1</f>
        <v>11</v>
      </c>
    </row>
    <row r="707" spans="1:15" x14ac:dyDescent="0.35">
      <c r="A707" s="2" t="s">
        <v>664</v>
      </c>
      <c r="B707" s="2" t="s">
        <v>665</v>
      </c>
      <c r="C707" s="2" t="s">
        <v>23</v>
      </c>
      <c r="D707" s="2" t="s">
        <v>568</v>
      </c>
      <c r="E707" s="2" t="s">
        <v>20</v>
      </c>
      <c r="F707" s="2">
        <v>69</v>
      </c>
      <c r="G707" s="2">
        <v>78</v>
      </c>
      <c r="H707" s="2">
        <v>66</v>
      </c>
      <c r="I707" s="2">
        <v>73</v>
      </c>
      <c r="J707" s="2">
        <v>79</v>
      </c>
      <c r="K707" s="2">
        <v>79</v>
      </c>
      <c r="L707">
        <f t="shared" si="33"/>
        <v>444</v>
      </c>
      <c r="M707" s="4">
        <f t="shared" si="34"/>
        <v>74</v>
      </c>
      <c r="N707" t="str" cm="1">
        <f t="array" ref="N707">_xlfn.IFS(M707&gt;=70,"A",M707&gt;=60,"B",M707&gt;=50,"C",M707&gt;=45,"D",M707&gt;=40,"E",TRUE,"F")</f>
        <v>A</v>
      </c>
      <c r="O707">
        <f t="shared" si="35"/>
        <v>15</v>
      </c>
    </row>
    <row r="708" spans="1:15" x14ac:dyDescent="0.35">
      <c r="A708" s="2" t="s">
        <v>664</v>
      </c>
      <c r="B708" s="2" t="s">
        <v>665</v>
      </c>
      <c r="C708" s="2" t="s">
        <v>23</v>
      </c>
      <c r="D708" s="2" t="s">
        <v>568</v>
      </c>
      <c r="E708" s="2" t="s">
        <v>15</v>
      </c>
      <c r="F708" s="2">
        <v>63</v>
      </c>
      <c r="G708" s="2">
        <v>73</v>
      </c>
      <c r="H708" s="2">
        <v>68</v>
      </c>
      <c r="I708" s="2">
        <v>77</v>
      </c>
      <c r="J708" s="2">
        <v>78</v>
      </c>
      <c r="K708" s="2">
        <v>77</v>
      </c>
      <c r="L708">
        <f t="shared" si="33"/>
        <v>436</v>
      </c>
      <c r="M708" s="4">
        <f t="shared" si="34"/>
        <v>72.666666666666671</v>
      </c>
      <c r="N708" t="str" cm="1">
        <f t="array" ref="N708">_xlfn.IFS(M708&gt;=70,"A",M708&gt;=60,"B",M708&gt;=50,"C",M708&gt;=45,"D",M708&gt;=40,"E",TRUE,"F")</f>
        <v>A</v>
      </c>
      <c r="O708">
        <f t="shared" si="35"/>
        <v>8</v>
      </c>
    </row>
    <row r="709" spans="1:15" x14ac:dyDescent="0.35">
      <c r="A709" s="2" t="s">
        <v>664</v>
      </c>
      <c r="B709" s="2" t="s">
        <v>665</v>
      </c>
      <c r="C709" s="2" t="s">
        <v>23</v>
      </c>
      <c r="D709" s="2" t="s">
        <v>568</v>
      </c>
      <c r="E709" s="2" t="s">
        <v>17</v>
      </c>
      <c r="F709" s="2">
        <v>63</v>
      </c>
      <c r="G709" s="2">
        <v>77</v>
      </c>
      <c r="H709" s="2">
        <v>72</v>
      </c>
      <c r="I709" s="2">
        <v>91</v>
      </c>
      <c r="J709" s="2">
        <v>67</v>
      </c>
      <c r="K709" s="2">
        <v>91</v>
      </c>
      <c r="L709">
        <f t="shared" si="33"/>
        <v>461</v>
      </c>
      <c r="M709" s="4">
        <f t="shared" si="34"/>
        <v>76.833333333333329</v>
      </c>
      <c r="N709" t="str" cm="1">
        <f t="array" ref="N709">_xlfn.IFS(M709&gt;=70,"A",M709&gt;=60,"B",M709&gt;=50,"C",M709&gt;=45,"D",M709&gt;=40,"E",TRUE,"F")</f>
        <v>A</v>
      </c>
      <c r="O709">
        <f t="shared" si="35"/>
        <v>6</v>
      </c>
    </row>
    <row r="710" spans="1:15" x14ac:dyDescent="0.35">
      <c r="A710" s="2" t="s">
        <v>666</v>
      </c>
      <c r="B710" s="2" t="s">
        <v>667</v>
      </c>
      <c r="C710" s="2" t="s">
        <v>18</v>
      </c>
      <c r="D710" s="2" t="s">
        <v>568</v>
      </c>
      <c r="E710" s="23" t="s">
        <v>20</v>
      </c>
      <c r="F710" s="2">
        <v>68</v>
      </c>
      <c r="G710" s="2">
        <v>71</v>
      </c>
      <c r="H710" s="2">
        <v>83</v>
      </c>
      <c r="I710" s="2">
        <v>87</v>
      </c>
      <c r="J710" s="2">
        <v>82</v>
      </c>
      <c r="K710" s="2">
        <v>72</v>
      </c>
      <c r="L710">
        <f t="shared" si="33"/>
        <v>463</v>
      </c>
      <c r="M710" s="4">
        <f t="shared" si="34"/>
        <v>77.166666666666671</v>
      </c>
      <c r="N710" t="str" cm="1">
        <f t="array" ref="N710">_xlfn.IFS(M710&gt;=70,"A",M710&gt;=60,"B",M710&gt;=50,"C",M710&gt;=45,"D",M710&gt;=40,"E",TRUE,"F")</f>
        <v>A</v>
      </c>
      <c r="O710">
        <f t="shared" si="35"/>
        <v>11</v>
      </c>
    </row>
    <row r="711" spans="1:15" x14ac:dyDescent="0.35">
      <c r="A711" s="2" t="s">
        <v>666</v>
      </c>
      <c r="B711" s="2" t="s">
        <v>667</v>
      </c>
      <c r="C711" s="2" t="s">
        <v>18</v>
      </c>
      <c r="D711" s="2" t="s">
        <v>568</v>
      </c>
      <c r="E711" s="2" t="s">
        <v>15</v>
      </c>
      <c r="F711" s="2">
        <v>42</v>
      </c>
      <c r="G711" s="2">
        <v>58</v>
      </c>
      <c r="H711" s="2">
        <v>56</v>
      </c>
      <c r="I711" s="2">
        <v>57</v>
      </c>
      <c r="J711" s="2">
        <v>69</v>
      </c>
      <c r="K711" s="2">
        <v>72</v>
      </c>
      <c r="L711">
        <f t="shared" si="33"/>
        <v>354</v>
      </c>
      <c r="M711" s="4">
        <f t="shared" si="34"/>
        <v>59</v>
      </c>
      <c r="N711" t="str" cm="1">
        <f t="array" ref="N711">_xlfn.IFS(M711&gt;=70,"A",M711&gt;=60,"B",M711&gt;=50,"C",M711&gt;=45,"D",M711&gt;=40,"E",TRUE,"F")</f>
        <v>C</v>
      </c>
      <c r="O711">
        <f t="shared" si="35"/>
        <v>20</v>
      </c>
    </row>
    <row r="712" spans="1:15" x14ac:dyDescent="0.35">
      <c r="A712" s="2" t="s">
        <v>666</v>
      </c>
      <c r="B712" s="2" t="s">
        <v>667</v>
      </c>
      <c r="C712" s="2" t="s">
        <v>18</v>
      </c>
      <c r="D712" s="2" t="s">
        <v>568</v>
      </c>
      <c r="E712" s="2" t="s">
        <v>17</v>
      </c>
      <c r="F712" s="2">
        <v>54</v>
      </c>
      <c r="G712" s="2">
        <v>64</v>
      </c>
      <c r="H712" s="2">
        <v>60</v>
      </c>
      <c r="I712" s="2">
        <v>70</v>
      </c>
      <c r="J712" s="2">
        <v>77</v>
      </c>
      <c r="K712" s="2">
        <v>75</v>
      </c>
      <c r="L712">
        <f t="shared" si="33"/>
        <v>400</v>
      </c>
      <c r="M712" s="4">
        <f t="shared" si="34"/>
        <v>66.666666666666671</v>
      </c>
      <c r="N712" t="str" cm="1">
        <f t="array" ref="N712">_xlfn.IFS(M712&gt;=70,"A",M712&gt;=60,"B",M712&gt;=50,"C",M712&gt;=45,"D",M712&gt;=40,"E",TRUE,"F")</f>
        <v>B</v>
      </c>
      <c r="O712">
        <f t="shared" si="35"/>
        <v>18</v>
      </c>
    </row>
    <row r="713" spans="1:15" x14ac:dyDescent="0.35">
      <c r="A713" s="2" t="s">
        <v>669</v>
      </c>
      <c r="B713" s="2" t="s">
        <v>672</v>
      </c>
      <c r="C713" s="2" t="s">
        <v>18</v>
      </c>
      <c r="D713" s="2" t="s">
        <v>568</v>
      </c>
      <c r="E713" s="2" t="s">
        <v>20</v>
      </c>
      <c r="F713" s="2">
        <v>64</v>
      </c>
      <c r="G713" s="2">
        <v>57</v>
      </c>
      <c r="H713" s="2">
        <v>66</v>
      </c>
      <c r="I713" s="2">
        <v>62</v>
      </c>
      <c r="J713" s="2">
        <v>67</v>
      </c>
      <c r="K713" s="2">
        <v>72</v>
      </c>
      <c r="L713">
        <f t="shared" si="33"/>
        <v>388</v>
      </c>
      <c r="M713" s="4">
        <f t="shared" si="34"/>
        <v>64.666666666666671</v>
      </c>
      <c r="N713" t="str" cm="1">
        <f t="array" ref="N713">_xlfn.IFS(M713&gt;=70,"A",M713&gt;=60,"B",M713&gt;=50,"C",M713&gt;=45,"D",M713&gt;=40,"E",TRUE,"F")</f>
        <v>B</v>
      </c>
      <c r="O713">
        <f t="shared" si="35"/>
        <v>24</v>
      </c>
    </row>
    <row r="714" spans="1:15" x14ac:dyDescent="0.35">
      <c r="A714" s="2" t="s">
        <v>669</v>
      </c>
      <c r="B714" s="2" t="s">
        <v>672</v>
      </c>
      <c r="C714" s="2" t="s">
        <v>18</v>
      </c>
      <c r="D714" s="2" t="s">
        <v>568</v>
      </c>
      <c r="E714" s="2" t="s">
        <v>15</v>
      </c>
      <c r="F714" s="2">
        <v>56</v>
      </c>
      <c r="G714" s="2">
        <v>56</v>
      </c>
      <c r="H714" s="2">
        <v>46</v>
      </c>
      <c r="I714" s="2">
        <v>68</v>
      </c>
      <c r="J714" s="2">
        <v>63</v>
      </c>
      <c r="K714" s="2">
        <v>52</v>
      </c>
      <c r="L714">
        <f t="shared" si="33"/>
        <v>341</v>
      </c>
      <c r="M714" s="4">
        <f t="shared" si="34"/>
        <v>56.833333333333336</v>
      </c>
      <c r="N714" t="str" cm="1">
        <f t="array" ref="N714">_xlfn.IFS(M714&gt;=70,"A",M714&gt;=60,"B",M714&gt;=50,"C",M714&gt;=45,"D",M714&gt;=40,"E",TRUE,"F")</f>
        <v>C</v>
      </c>
      <c r="O714">
        <f t="shared" si="35"/>
        <v>25</v>
      </c>
    </row>
    <row r="715" spans="1:15" x14ac:dyDescent="0.35">
      <c r="A715" s="2" t="s">
        <v>669</v>
      </c>
      <c r="B715" s="2" t="s">
        <v>672</v>
      </c>
      <c r="C715" s="2" t="s">
        <v>18</v>
      </c>
      <c r="D715" s="2" t="s">
        <v>568</v>
      </c>
      <c r="E715" s="2" t="s">
        <v>17</v>
      </c>
      <c r="F715" s="2">
        <v>48</v>
      </c>
      <c r="G715" s="2">
        <v>54</v>
      </c>
      <c r="H715" s="2">
        <v>50</v>
      </c>
      <c r="I715" s="2">
        <v>63</v>
      </c>
      <c r="J715" s="2">
        <v>67</v>
      </c>
      <c r="K715" s="2">
        <v>59</v>
      </c>
      <c r="L715">
        <f t="shared" si="33"/>
        <v>341</v>
      </c>
      <c r="M715" s="4">
        <f t="shared" si="34"/>
        <v>56.833333333333336</v>
      </c>
      <c r="N715" t="str" cm="1">
        <f t="array" ref="N715">_xlfn.IFS(M715&gt;=70,"A",M715&gt;=60,"B",M715&gt;=50,"C",M715&gt;=45,"D",M715&gt;=40,"E",TRUE,"F")</f>
        <v>C</v>
      </c>
      <c r="O715">
        <f t="shared" si="35"/>
        <v>30</v>
      </c>
    </row>
    <row r="716" spans="1:15" x14ac:dyDescent="0.35">
      <c r="A716" s="2" t="s">
        <v>673</v>
      </c>
      <c r="B716" s="2" t="s">
        <v>674</v>
      </c>
      <c r="C716" s="2" t="s">
        <v>23</v>
      </c>
      <c r="D716" s="2" t="s">
        <v>568</v>
      </c>
      <c r="E716" s="2" t="s">
        <v>15</v>
      </c>
      <c r="F716" s="2">
        <v>27</v>
      </c>
      <c r="G716" s="2">
        <v>44</v>
      </c>
      <c r="H716" s="2">
        <v>29</v>
      </c>
      <c r="I716" s="2">
        <v>39</v>
      </c>
      <c r="J716" s="2">
        <v>41</v>
      </c>
      <c r="K716" s="2">
        <v>49</v>
      </c>
      <c r="L716">
        <f t="shared" si="33"/>
        <v>229</v>
      </c>
      <c r="M716" s="4">
        <f t="shared" si="34"/>
        <v>38.166666666666664</v>
      </c>
      <c r="N716" t="str" cm="1">
        <f t="array" ref="N716">_xlfn.IFS(M716&gt;=70,"A",M716&gt;=60,"B",M716&gt;=50,"C",M716&gt;=45,"D",M716&gt;=40,"E",TRUE,"F")</f>
        <v>F</v>
      </c>
      <c r="O716">
        <f t="shared" si="35"/>
        <v>38</v>
      </c>
    </row>
    <row r="717" spans="1:15" x14ac:dyDescent="0.35">
      <c r="A717" s="2" t="s">
        <v>673</v>
      </c>
      <c r="B717" s="2" t="s">
        <v>674</v>
      </c>
      <c r="C717" s="2" t="s">
        <v>23</v>
      </c>
      <c r="D717" s="2" t="s">
        <v>568</v>
      </c>
      <c r="E717" s="2" t="s">
        <v>17</v>
      </c>
      <c r="F717" s="2">
        <v>16</v>
      </c>
      <c r="G717" s="2">
        <v>35</v>
      </c>
      <c r="H717" s="2">
        <v>32</v>
      </c>
      <c r="I717" s="2">
        <v>25</v>
      </c>
      <c r="J717" s="2">
        <v>26</v>
      </c>
      <c r="K717" s="2">
        <v>38</v>
      </c>
      <c r="L717">
        <f t="shared" si="33"/>
        <v>172</v>
      </c>
      <c r="M717" s="4">
        <f t="shared" si="34"/>
        <v>28.666666666666668</v>
      </c>
      <c r="N717" t="str" cm="1">
        <f t="array" ref="N717">_xlfn.IFS(M717&gt;=70,"A",M717&gt;=60,"B",M717&gt;=50,"C",M717&gt;=45,"D",M717&gt;=40,"E",TRUE,"F")</f>
        <v>F</v>
      </c>
      <c r="O717">
        <f t="shared" si="35"/>
        <v>40</v>
      </c>
    </row>
    <row r="718" spans="1:15" x14ac:dyDescent="0.35">
      <c r="A718" s="2" t="s">
        <v>673</v>
      </c>
      <c r="B718" s="2" t="s">
        <v>674</v>
      </c>
      <c r="C718" s="2" t="s">
        <v>23</v>
      </c>
      <c r="D718" s="2" t="s">
        <v>568</v>
      </c>
      <c r="E718" s="2" t="s">
        <v>20</v>
      </c>
      <c r="F718" s="2">
        <v>14</v>
      </c>
      <c r="G718" s="2">
        <v>33</v>
      </c>
      <c r="H718" s="2">
        <v>21</v>
      </c>
      <c r="I718" s="2">
        <v>31</v>
      </c>
      <c r="J718" s="2">
        <v>31</v>
      </c>
      <c r="K718" s="2">
        <v>38</v>
      </c>
      <c r="L718">
        <f t="shared" si="33"/>
        <v>168</v>
      </c>
      <c r="M718" s="4">
        <f t="shared" si="34"/>
        <v>28</v>
      </c>
      <c r="N718" t="str" cm="1">
        <f t="array" ref="N718">_xlfn.IFS(M718&gt;=70,"A",M718&gt;=60,"B",M718&gt;=50,"C",M718&gt;=45,"D",M718&gt;=40,"E",TRUE,"F")</f>
        <v>F</v>
      </c>
      <c r="O718">
        <f t="shared" si="35"/>
        <v>39</v>
      </c>
    </row>
    <row r="719" spans="1:15" x14ac:dyDescent="0.35">
      <c r="A719" s="2" t="s">
        <v>676</v>
      </c>
      <c r="B719" s="2" t="s">
        <v>677</v>
      </c>
      <c r="C719" s="2" t="s">
        <v>23</v>
      </c>
      <c r="D719" s="2" t="s">
        <v>568</v>
      </c>
      <c r="E719" s="2" t="s">
        <v>20</v>
      </c>
      <c r="F719" s="2">
        <v>62</v>
      </c>
      <c r="G719" s="2">
        <v>70</v>
      </c>
      <c r="H719" s="2">
        <v>67</v>
      </c>
      <c r="I719" s="2">
        <v>66</v>
      </c>
      <c r="J719" s="2">
        <v>70</v>
      </c>
      <c r="K719" s="2">
        <v>72</v>
      </c>
      <c r="L719">
        <f t="shared" si="33"/>
        <v>407</v>
      </c>
      <c r="M719" s="4">
        <f t="shared" si="34"/>
        <v>67.833333333333329</v>
      </c>
      <c r="N719" t="str" cm="1">
        <f t="array" ref="N719">_xlfn.IFS(M719&gt;=70,"A",M719&gt;=60,"B",M719&gt;=50,"C",M719&gt;=45,"D",M719&gt;=40,"E",TRUE,"F")</f>
        <v>B</v>
      </c>
      <c r="O719">
        <f t="shared" si="35"/>
        <v>21</v>
      </c>
    </row>
    <row r="720" spans="1:15" x14ac:dyDescent="0.35">
      <c r="A720" s="2" t="s">
        <v>676</v>
      </c>
      <c r="B720" s="2" t="s">
        <v>677</v>
      </c>
      <c r="C720" s="2" t="s">
        <v>23</v>
      </c>
      <c r="D720" s="2" t="s">
        <v>568</v>
      </c>
      <c r="E720" s="2" t="s">
        <v>15</v>
      </c>
      <c r="F720" s="2">
        <v>62</v>
      </c>
      <c r="G720" s="2">
        <v>51</v>
      </c>
      <c r="H720" s="2">
        <v>49</v>
      </c>
      <c r="I720" s="2">
        <v>74</v>
      </c>
      <c r="J720" s="2">
        <v>62</v>
      </c>
      <c r="K720" s="2">
        <v>75</v>
      </c>
      <c r="L720">
        <f t="shared" si="33"/>
        <v>373</v>
      </c>
      <c r="M720" s="4">
        <f t="shared" si="34"/>
        <v>62.166666666666664</v>
      </c>
      <c r="N720" t="str" cm="1">
        <f t="array" ref="N720">_xlfn.IFS(M720&gt;=70,"A",M720&gt;=60,"B",M720&gt;=50,"C",M720&gt;=45,"D",M720&gt;=40,"E",TRUE,"F")</f>
        <v>B</v>
      </c>
      <c r="O720">
        <f t="shared" si="35"/>
        <v>16</v>
      </c>
    </row>
    <row r="721" spans="1:15" x14ac:dyDescent="0.35">
      <c r="A721" s="2" t="s">
        <v>676</v>
      </c>
      <c r="B721" s="2" t="s">
        <v>677</v>
      </c>
      <c r="C721" s="2" t="s">
        <v>23</v>
      </c>
      <c r="D721" s="2" t="s">
        <v>568</v>
      </c>
      <c r="E721" s="2" t="s">
        <v>17</v>
      </c>
      <c r="F721" s="2">
        <v>61</v>
      </c>
      <c r="G721" s="2">
        <v>66</v>
      </c>
      <c r="H721" s="2">
        <v>63</v>
      </c>
      <c r="I721" s="2">
        <v>71</v>
      </c>
      <c r="J721" s="2">
        <v>61</v>
      </c>
      <c r="K721" s="2">
        <v>72</v>
      </c>
      <c r="L721">
        <f t="shared" si="33"/>
        <v>394</v>
      </c>
      <c r="M721" s="4">
        <f t="shared" si="34"/>
        <v>65.666666666666671</v>
      </c>
      <c r="N721" t="str" cm="1">
        <f t="array" ref="N721">_xlfn.IFS(M721&gt;=70,"A",M721&gt;=60,"B",M721&gt;=50,"C",M721&gt;=45,"D",M721&gt;=40,"E",TRUE,"F")</f>
        <v>B</v>
      </c>
      <c r="O721">
        <f t="shared" si="35"/>
        <v>20</v>
      </c>
    </row>
  </sheetData>
  <pageMargins left="0.7" right="0.7" top="0.75" bottom="0.75" header="0.3" footer="0.3"/>
  <drawing r:id="rId1"/>
  <tableParts count="8">
    <tablePart r:id="rId2"/>
    <tablePart r:id="rId3"/>
    <tablePart r:id="rId4"/>
    <tablePart r:id="rId5"/>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F9B42-3695-45CE-BFAF-78AEA7CEBD3A}">
  <dimension ref="A1:Q33"/>
  <sheetViews>
    <sheetView workbookViewId="0">
      <selection activeCell="C60" sqref="C60"/>
    </sheetView>
  </sheetViews>
  <sheetFormatPr defaultRowHeight="14.5" x14ac:dyDescent="0.35"/>
  <cols>
    <col min="1" max="1" width="12.36328125" bestFit="1" customWidth="1"/>
    <col min="2" max="2" width="23" bestFit="1" customWidth="1"/>
    <col min="3" max="3" width="25.54296875" bestFit="1" customWidth="1"/>
    <col min="4" max="4" width="21.1796875" style="4" bestFit="1" customWidth="1"/>
    <col min="5" max="5" width="21.7265625" style="7" bestFit="1" customWidth="1"/>
    <col min="6" max="6" width="15.6328125" bestFit="1" customWidth="1"/>
    <col min="7" max="7" width="16.08984375" bestFit="1" customWidth="1"/>
    <col min="8" max="8" width="23.81640625" customWidth="1"/>
    <col min="13" max="13" width="18.26953125" bestFit="1" customWidth="1"/>
    <col min="14" max="14" width="15.36328125" bestFit="1" customWidth="1"/>
    <col min="15" max="15" width="11.54296875" bestFit="1" customWidth="1"/>
    <col min="16" max="16" width="9.90625" bestFit="1" customWidth="1"/>
    <col min="17" max="17" width="10.7265625" bestFit="1" customWidth="1"/>
  </cols>
  <sheetData>
    <row r="1" spans="1:17" x14ac:dyDescent="0.35">
      <c r="A1" t="s">
        <v>683</v>
      </c>
      <c r="B1" t="s">
        <v>684</v>
      </c>
      <c r="C1" t="s">
        <v>685</v>
      </c>
      <c r="D1" s="4" t="s">
        <v>686</v>
      </c>
      <c r="E1" s="7" t="s">
        <v>687</v>
      </c>
      <c r="G1" t="s">
        <v>683</v>
      </c>
      <c r="H1" t="s">
        <v>720</v>
      </c>
    </row>
    <row r="2" spans="1:17" x14ac:dyDescent="0.35">
      <c r="A2" t="s">
        <v>14</v>
      </c>
      <c r="B2" t="s">
        <v>15</v>
      </c>
      <c r="C2">
        <f>COUNTIFS('Cleaned Data'!$D$2:$D$721,A2,'Cleaned Data'!$E$2:$E$721,B2)</f>
        <v>40</v>
      </c>
      <c r="D2" s="4">
        <f>AVERAGEIFS('Cleaned Data'!$M$2:$M$721,'Cleaned Data'!$D$2:$D$721,A2,'Cleaned Data'!$E$2:$E$721,B2)</f>
        <v>60.008333333333347</v>
      </c>
      <c r="E2" s="7">
        <f>IF(C2=0,0,COUNTIFS('Cleaned Data'!$D$2:$D$721,A2,'Cleaned Data'!$E$2:$E$721,B2,'Cleaned Data'!$M$2:$M$721,"&gt;=50")/C2)</f>
        <v>0.77500000000000002</v>
      </c>
      <c r="G2" t="s">
        <v>14</v>
      </c>
      <c r="H2" s="29">
        <v>0.9</v>
      </c>
    </row>
    <row r="3" spans="1:17" x14ac:dyDescent="0.35">
      <c r="A3" t="s">
        <v>14</v>
      </c>
      <c r="B3" t="s">
        <v>17</v>
      </c>
      <c r="C3">
        <f>COUNTIFS('Cleaned Data'!$D$2:$D$721,A3,'Cleaned Data'!$E$2:$E$721,B3)</f>
        <v>40</v>
      </c>
      <c r="D3" s="4">
        <f>AVERAGEIFS('Cleaned Data'!$M$2:$M$721,'Cleaned Data'!$D$2:$D$721,A3,'Cleaned Data'!$E$2:$E$721,B3)</f>
        <v>61.95</v>
      </c>
      <c r="E3" s="7">
        <f>IF(C3=0,0,COUNTIFS('Cleaned Data'!$D$2:$D$721,A3,'Cleaned Data'!$E$2:$E$721,B3,'Cleaned Data'!$M$2:$M$721,"&gt;=50")/C3)</f>
        <v>0.82499999999999996</v>
      </c>
      <c r="G3" t="s">
        <v>131</v>
      </c>
      <c r="H3" s="29">
        <v>0.9</v>
      </c>
    </row>
    <row r="4" spans="1:17" x14ac:dyDescent="0.35">
      <c r="A4" t="s">
        <v>14</v>
      </c>
      <c r="B4" t="s">
        <v>20</v>
      </c>
      <c r="C4">
        <f>COUNTIFS('Cleaned Data'!$D$2:$D$721,A4,'Cleaned Data'!$E$2:$E$721,B4)</f>
        <v>40</v>
      </c>
      <c r="D4" s="4">
        <f>AVERAGEIFS('Cleaned Data'!$M$2:$M$721,'Cleaned Data'!$D$2:$D$721,A4,'Cleaned Data'!$E$2:$E$721,B4)</f>
        <v>63.168333333333337</v>
      </c>
      <c r="E4" s="7">
        <f>IF(C4=0,0,COUNTIFS('Cleaned Data'!$D$2:$D$721,A4,'Cleaned Data'!$E$2:$E$721,B4,'Cleaned Data'!$M$2:$M$721,"&gt;=50")/C4)</f>
        <v>0.9</v>
      </c>
      <c r="G4" t="s">
        <v>247</v>
      </c>
      <c r="H4" s="29">
        <v>0.85</v>
      </c>
      <c r="M4" s="25" t="s">
        <v>717</v>
      </c>
      <c r="N4" s="25" t="s">
        <v>716</v>
      </c>
    </row>
    <row r="5" spans="1:17" x14ac:dyDescent="0.35">
      <c r="A5" t="s">
        <v>131</v>
      </c>
      <c r="B5" t="s">
        <v>15</v>
      </c>
      <c r="C5">
        <f>COUNTIFS('Cleaned Data'!$D$2:$D$721,A5,'Cleaned Data'!$E$2:$E$721,B5)</f>
        <v>40</v>
      </c>
      <c r="D5" s="4">
        <f>AVERAGEIFS('Cleaned Data'!$M$2:$M$721,'Cleaned Data'!$D$2:$D$721,A5,'Cleaned Data'!$E$2:$E$721,B5)</f>
        <v>59.189583333333346</v>
      </c>
      <c r="E5" s="7">
        <f>IF(C5=0,0,COUNTIFS('Cleaned Data'!$D$2:$D$721,A5,'Cleaned Data'!$E$2:$E$721,B5,'Cleaned Data'!$M$2:$M$721,"&gt;=50")/C5)</f>
        <v>0.9</v>
      </c>
      <c r="G5" t="s">
        <v>351</v>
      </c>
      <c r="H5" s="29">
        <v>0.85</v>
      </c>
      <c r="M5" s="25" t="s">
        <v>714</v>
      </c>
      <c r="N5" t="s">
        <v>15</v>
      </c>
      <c r="O5" t="s">
        <v>17</v>
      </c>
      <c r="P5" t="s">
        <v>20</v>
      </c>
      <c r="Q5" t="s">
        <v>715</v>
      </c>
    </row>
    <row r="6" spans="1:17" x14ac:dyDescent="0.35">
      <c r="A6" t="s">
        <v>131</v>
      </c>
      <c r="B6" t="s">
        <v>17</v>
      </c>
      <c r="C6">
        <f>COUNTIFS('Cleaned Data'!$D$2:$D$721,A6,'Cleaned Data'!$E$2:$E$721,B6)</f>
        <v>40</v>
      </c>
      <c r="D6" s="4">
        <f>AVERAGEIFS('Cleaned Data'!$M$2:$M$721,'Cleaned Data'!$D$2:$D$721,A6,'Cleaned Data'!$E$2:$E$721,B6)</f>
        <v>61.691666666666677</v>
      </c>
      <c r="E6" s="7">
        <f>IF(C6=0,0,COUNTIFS('Cleaned Data'!$D$2:$D$721,A6,'Cleaned Data'!$E$2:$E$721,B6,'Cleaned Data'!$M$2:$M$721,"&gt;=50")/C6)</f>
        <v>0.9</v>
      </c>
      <c r="G6" t="s">
        <v>460</v>
      </c>
      <c r="H6" s="29">
        <v>0.8</v>
      </c>
      <c r="M6" s="26" t="s">
        <v>14</v>
      </c>
      <c r="N6" s="4">
        <v>60.008333333333347</v>
      </c>
      <c r="O6" s="4">
        <v>61.95</v>
      </c>
      <c r="P6" s="4">
        <v>63.168333333333337</v>
      </c>
      <c r="Q6" s="4">
        <v>61.708888888888886</v>
      </c>
    </row>
    <row r="7" spans="1:17" x14ac:dyDescent="0.35">
      <c r="A7" t="s">
        <v>131</v>
      </c>
      <c r="B7" t="s">
        <v>20</v>
      </c>
      <c r="C7">
        <f>COUNTIFS('Cleaned Data'!$D$2:$D$721,A7,'Cleaned Data'!$E$2:$E$721,B7)</f>
        <v>40</v>
      </c>
      <c r="D7" s="4">
        <f>AVERAGEIFS('Cleaned Data'!$M$2:$M$721,'Cleaned Data'!$D$2:$D$721,A7,'Cleaned Data'!$E$2:$E$721,B7)</f>
        <v>63.540000000000006</v>
      </c>
      <c r="E7" s="7">
        <f>IF(C7=0,0,COUNTIFS('Cleaned Data'!$D$2:$D$721,A7,'Cleaned Data'!$E$2:$E$721,B7,'Cleaned Data'!$M$2:$M$721,"&gt;=50")/C7)</f>
        <v>0.9</v>
      </c>
      <c r="G7" t="s">
        <v>568</v>
      </c>
      <c r="H7" s="29">
        <v>0.9</v>
      </c>
      <c r="M7" s="26" t="s">
        <v>131</v>
      </c>
      <c r="N7" s="4">
        <v>59.189583333333346</v>
      </c>
      <c r="O7" s="4">
        <v>61.691666666666677</v>
      </c>
      <c r="P7" s="4">
        <v>63.540000000000006</v>
      </c>
      <c r="Q7" s="4">
        <v>61.473750000000017</v>
      </c>
    </row>
    <row r="8" spans="1:17" x14ac:dyDescent="0.35">
      <c r="A8" t="s">
        <v>247</v>
      </c>
      <c r="B8" t="s">
        <v>15</v>
      </c>
      <c r="C8">
        <f>COUNTIFS('Cleaned Data'!$D$2:$D$721,A8,'Cleaned Data'!$E$2:$E$721,B8)</f>
        <v>40</v>
      </c>
      <c r="D8" s="4">
        <f>AVERAGEIFS('Cleaned Data'!$M$2:$M$721,'Cleaned Data'!$D$2:$D$721,A8,'Cleaned Data'!$E$2:$E$721,B8)</f>
        <v>61.479166666666664</v>
      </c>
      <c r="E8" s="7">
        <f>IF(C8=0,0,COUNTIFS('Cleaned Data'!$D$2:$D$721,A8,'Cleaned Data'!$E$2:$E$721,B8,'Cleaned Data'!$M$2:$M$721,"&gt;=50")/C8)</f>
        <v>0.77500000000000002</v>
      </c>
      <c r="M8" s="26" t="s">
        <v>247</v>
      </c>
      <c r="N8" s="4">
        <v>61.479166666666664</v>
      </c>
      <c r="O8" s="4">
        <v>64.299166666666665</v>
      </c>
      <c r="P8" s="4">
        <v>65.5625</v>
      </c>
      <c r="Q8" s="4">
        <v>63.780277777777776</v>
      </c>
    </row>
    <row r="9" spans="1:17" x14ac:dyDescent="0.35">
      <c r="A9" t="s">
        <v>247</v>
      </c>
      <c r="B9" t="s">
        <v>17</v>
      </c>
      <c r="C9">
        <f>COUNTIFS('Cleaned Data'!$D$2:$D$721,A9,'Cleaned Data'!$E$2:$E$721,B9)</f>
        <v>40</v>
      </c>
      <c r="D9" s="4">
        <f>AVERAGEIFS('Cleaned Data'!$M$2:$M$721,'Cleaned Data'!$D$2:$D$721,A9,'Cleaned Data'!$E$2:$E$721,B9)</f>
        <v>64.299166666666665</v>
      </c>
      <c r="E9" s="7">
        <f>IF(C9=0,0,COUNTIFS('Cleaned Data'!$D$2:$D$721,A9,'Cleaned Data'!$E$2:$E$721,B9,'Cleaned Data'!$M$2:$M$721,"&gt;=50")/C9)</f>
        <v>0.875</v>
      </c>
      <c r="M9" s="26" t="s">
        <v>351</v>
      </c>
      <c r="N9" s="4">
        <v>61.579166666666666</v>
      </c>
      <c r="O9" s="4">
        <v>63.541666666666664</v>
      </c>
      <c r="P9" s="4">
        <v>64.925000000000011</v>
      </c>
      <c r="Q9" s="4">
        <v>63.348611111111119</v>
      </c>
    </row>
    <row r="10" spans="1:17" x14ac:dyDescent="0.35">
      <c r="A10" t="s">
        <v>247</v>
      </c>
      <c r="B10" t="s">
        <v>20</v>
      </c>
      <c r="C10">
        <f>COUNTIFS('Cleaned Data'!$D$2:$D$721,A10,'Cleaned Data'!$E$2:$E$721,B10)</f>
        <v>40</v>
      </c>
      <c r="D10" s="4">
        <f>AVERAGEIFS('Cleaned Data'!$M$2:$M$721,'Cleaned Data'!$D$2:$D$721,A10,'Cleaned Data'!$E$2:$E$721,B10)</f>
        <v>65.5625</v>
      </c>
      <c r="E10" s="7">
        <f>IF(C10=0,0,COUNTIFS('Cleaned Data'!$D$2:$D$721,A10,'Cleaned Data'!$E$2:$E$721,B10,'Cleaned Data'!$M$2:$M$721,"&gt;=50")/C10)</f>
        <v>0.85</v>
      </c>
      <c r="M10" s="26" t="s">
        <v>460</v>
      </c>
      <c r="N10" s="4">
        <v>57.662499999999987</v>
      </c>
      <c r="O10" s="4">
        <v>59.975000000000009</v>
      </c>
      <c r="P10" s="4">
        <v>62.65</v>
      </c>
      <c r="Q10" s="4">
        <v>60.095833333333331</v>
      </c>
    </row>
    <row r="11" spans="1:17" x14ac:dyDescent="0.35">
      <c r="A11" t="s">
        <v>351</v>
      </c>
      <c r="B11" t="s">
        <v>15</v>
      </c>
      <c r="C11">
        <f>COUNTIFS('Cleaned Data'!$D$2:$D$721,A11,'Cleaned Data'!$E$2:$E$721,B11)</f>
        <v>40</v>
      </c>
      <c r="D11" s="4">
        <f>AVERAGEIFS('Cleaned Data'!$M$2:$M$721,'Cleaned Data'!$D$2:$D$721,A11,'Cleaned Data'!$E$2:$E$721,B11)</f>
        <v>61.579166666666666</v>
      </c>
      <c r="E11" s="7">
        <f>IF(C11=0,0,COUNTIFS('Cleaned Data'!$D$2:$D$721,A11,'Cleaned Data'!$E$2:$E$721,B11,'Cleaned Data'!$M$2:$M$721,"&gt;=50")/C11)</f>
        <v>0.82499999999999996</v>
      </c>
      <c r="M11" s="26" t="s">
        <v>568</v>
      </c>
      <c r="N11" s="4">
        <v>60.67499999999999</v>
      </c>
      <c r="O11" s="4">
        <v>63.465833333333329</v>
      </c>
      <c r="P11" s="4">
        <v>66.724999999999994</v>
      </c>
      <c r="Q11" s="4">
        <v>63.621944444444438</v>
      </c>
    </row>
    <row r="12" spans="1:17" x14ac:dyDescent="0.35">
      <c r="A12" t="s">
        <v>351</v>
      </c>
      <c r="B12" t="s">
        <v>17</v>
      </c>
      <c r="C12">
        <f>COUNTIFS('Cleaned Data'!$D$2:$D$721,A12,'Cleaned Data'!$E$2:$E$721,B12)</f>
        <v>40</v>
      </c>
      <c r="D12" s="4">
        <f>AVERAGEIFS('Cleaned Data'!$M$2:$M$721,'Cleaned Data'!$D$2:$D$721,A12,'Cleaned Data'!$E$2:$E$721,B12)</f>
        <v>63.541666666666664</v>
      </c>
      <c r="E12" s="7">
        <f>IF(C12=0,0,COUNTIFS('Cleaned Data'!$D$2:$D$721,A12,'Cleaned Data'!$E$2:$E$721,B12,'Cleaned Data'!$M$2:$M$721,"&gt;=50")/C12)</f>
        <v>0.875</v>
      </c>
      <c r="M12" s="26" t="s">
        <v>715</v>
      </c>
      <c r="N12" s="4">
        <v>60.098958333333336</v>
      </c>
      <c r="O12" s="4">
        <v>62.487222222222215</v>
      </c>
      <c r="P12" s="4">
        <v>64.428472222222226</v>
      </c>
      <c r="Q12" s="4">
        <v>62.338217592592599</v>
      </c>
    </row>
    <row r="13" spans="1:17" x14ac:dyDescent="0.35">
      <c r="A13" t="s">
        <v>351</v>
      </c>
      <c r="B13" t="s">
        <v>20</v>
      </c>
      <c r="C13">
        <f>COUNTIFS('Cleaned Data'!$D$2:$D$721,A13,'Cleaned Data'!$E$2:$E$721,B13)</f>
        <v>40</v>
      </c>
      <c r="D13" s="4">
        <f>AVERAGEIFS('Cleaned Data'!$M$2:$M$721,'Cleaned Data'!$D$2:$D$721,A13,'Cleaned Data'!$E$2:$E$721,B13)</f>
        <v>64.925000000000011</v>
      </c>
      <c r="E13" s="7">
        <f>IF(C13=0,0,COUNTIFS('Cleaned Data'!$D$2:$D$721,A13,'Cleaned Data'!$E$2:$E$721,B13,'Cleaned Data'!$M$2:$M$721,"&gt;=50")/C13)</f>
        <v>0.85</v>
      </c>
    </row>
    <row r="14" spans="1:17" x14ac:dyDescent="0.35">
      <c r="A14" t="s">
        <v>460</v>
      </c>
      <c r="B14" t="s">
        <v>15</v>
      </c>
      <c r="C14">
        <f>COUNTIFS('Cleaned Data'!$D$2:$D$721,A14,'Cleaned Data'!$E$2:$E$721,B14)</f>
        <v>40</v>
      </c>
      <c r="D14" s="4">
        <f>AVERAGEIFS('Cleaned Data'!$M$2:$M$721,'Cleaned Data'!$D$2:$D$721,A14,'Cleaned Data'!$E$2:$E$721,B14)</f>
        <v>57.662499999999987</v>
      </c>
      <c r="E14" s="7">
        <f>IF(C14=0,0,COUNTIFS('Cleaned Data'!$D$2:$D$721,A14,'Cleaned Data'!$E$2:$E$721,B14,'Cleaned Data'!$M$2:$M$721,"&gt;=50")/C14)</f>
        <v>0.75</v>
      </c>
    </row>
    <row r="15" spans="1:17" x14ac:dyDescent="0.35">
      <c r="A15" t="s">
        <v>460</v>
      </c>
      <c r="B15" t="s">
        <v>17</v>
      </c>
      <c r="C15">
        <f>COUNTIFS('Cleaned Data'!$D$2:$D$721,A15,'Cleaned Data'!$E$2:$E$721,B15)</f>
        <v>40</v>
      </c>
      <c r="D15" s="4">
        <f>AVERAGEIFS('Cleaned Data'!$M$2:$M$721,'Cleaned Data'!$D$2:$D$721,A15,'Cleaned Data'!$E$2:$E$721,B15)</f>
        <v>59.975000000000009</v>
      </c>
      <c r="E15" s="7">
        <f>IF(C15=0,0,COUNTIFS('Cleaned Data'!$D$2:$D$721,A15,'Cleaned Data'!$E$2:$E$721,B15,'Cleaned Data'!$M$2:$M$721,"&gt;=50")/C15)</f>
        <v>0.82499999999999996</v>
      </c>
    </row>
    <row r="16" spans="1:17" x14ac:dyDescent="0.35">
      <c r="A16" t="s">
        <v>460</v>
      </c>
      <c r="B16" t="s">
        <v>20</v>
      </c>
      <c r="C16">
        <f>COUNTIFS('Cleaned Data'!$D$2:$D$721,A16,'Cleaned Data'!$E$2:$E$721,B16)</f>
        <v>40</v>
      </c>
      <c r="D16" s="4">
        <f>AVERAGEIFS('Cleaned Data'!$M$2:$M$721,'Cleaned Data'!$D$2:$D$721,A16,'Cleaned Data'!$E$2:$E$721,B16)</f>
        <v>62.65</v>
      </c>
      <c r="E16" s="7">
        <f>IF(C16=0,0,COUNTIFS('Cleaned Data'!$D$2:$D$721,A16,'Cleaned Data'!$E$2:$E$721,B16,'Cleaned Data'!$M$2:$M$721,"&gt;=50")/C16)</f>
        <v>0.8</v>
      </c>
    </row>
    <row r="17" spans="1:5" x14ac:dyDescent="0.35">
      <c r="A17" t="s">
        <v>568</v>
      </c>
      <c r="B17" t="s">
        <v>15</v>
      </c>
      <c r="C17">
        <f>COUNTIFS('Cleaned Data'!$D$2:$D$721,A17,'Cleaned Data'!$E$2:$E$721,B17)</f>
        <v>40</v>
      </c>
      <c r="D17" s="4">
        <f>AVERAGEIFS('Cleaned Data'!$M$2:$M$721,'Cleaned Data'!$D$2:$D$721,A17,'Cleaned Data'!$E$2:$E$721,B17)</f>
        <v>60.67499999999999</v>
      </c>
      <c r="E17" s="7">
        <f>IF(C17=0,0,COUNTIFS('Cleaned Data'!$D$2:$D$721,A17,'Cleaned Data'!$E$2:$E$721,B17,'Cleaned Data'!$M$2:$M$721,"&gt;=50")/C17)</f>
        <v>0.85</v>
      </c>
    </row>
    <row r="18" spans="1:5" x14ac:dyDescent="0.35">
      <c r="A18" t="s">
        <v>568</v>
      </c>
      <c r="B18" t="s">
        <v>17</v>
      </c>
      <c r="C18">
        <f>COUNTIFS('Cleaned Data'!$D$2:$D$721,A18,'Cleaned Data'!$E$2:$E$721,B18)</f>
        <v>40</v>
      </c>
      <c r="D18" s="4">
        <f>AVERAGEIFS('Cleaned Data'!$M$2:$M$721,'Cleaned Data'!$D$2:$D$721,A18,'Cleaned Data'!$E$2:$E$721,B18)</f>
        <v>63.465833333333329</v>
      </c>
      <c r="E18" s="7">
        <f>IF(C18=0,0,COUNTIFS('Cleaned Data'!$D$2:$D$721,A18,'Cleaned Data'!$E$2:$E$721,B18,'Cleaned Data'!$M$2:$M$721,"&gt;=50")/C18)</f>
        <v>0.9</v>
      </c>
    </row>
    <row r="19" spans="1:5" x14ac:dyDescent="0.35">
      <c r="A19" t="s">
        <v>568</v>
      </c>
      <c r="B19" t="s">
        <v>20</v>
      </c>
      <c r="C19">
        <f>COUNTIFS('Cleaned Data'!$D$2:$D$721,A19,'Cleaned Data'!$E$2:$E$721,B19)</f>
        <v>40</v>
      </c>
      <c r="D19" s="4">
        <f>AVERAGEIFS('Cleaned Data'!$M$2:$M$721,'Cleaned Data'!$D$2:$D$721,A19,'Cleaned Data'!$E$2:$E$721,B19)</f>
        <v>66.724999999999994</v>
      </c>
      <c r="E19" s="7">
        <f>IF(C19=0,0,COUNTIFS('Cleaned Data'!$D$2:$D$721,A19,'Cleaned Data'!$E$2:$E$721,B19,'Cleaned Data'!$M$2:$M$721,"&gt;=50")/C19)</f>
        <v>0.9</v>
      </c>
    </row>
    <row r="26" spans="1:5" x14ac:dyDescent="0.35">
      <c r="D26"/>
      <c r="E26"/>
    </row>
    <row r="27" spans="1:5" x14ac:dyDescent="0.35">
      <c r="D27"/>
      <c r="E27"/>
    </row>
    <row r="28" spans="1:5" x14ac:dyDescent="0.35">
      <c r="D28"/>
      <c r="E28"/>
    </row>
    <row r="29" spans="1:5" x14ac:dyDescent="0.35">
      <c r="D29"/>
      <c r="E29"/>
    </row>
    <row r="30" spans="1:5" x14ac:dyDescent="0.35">
      <c r="D30"/>
      <c r="E30"/>
    </row>
    <row r="31" spans="1:5" x14ac:dyDescent="0.35">
      <c r="D31"/>
      <c r="E31"/>
    </row>
    <row r="32" spans="1:5" x14ac:dyDescent="0.35">
      <c r="D32"/>
      <c r="E32"/>
    </row>
    <row r="33" spans="4:5" x14ac:dyDescent="0.35">
      <c r="D33"/>
      <c r="E33"/>
    </row>
  </sheetData>
  <pageMargins left="0.7" right="0.7" top="0.75" bottom="0.75" header="0.3" footer="0.3"/>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ABA7F-4F99-47FF-8240-C5E285B34410}">
  <dimension ref="A1:K23"/>
  <sheetViews>
    <sheetView workbookViewId="0">
      <selection activeCell="D18" sqref="D18"/>
    </sheetView>
  </sheetViews>
  <sheetFormatPr defaultRowHeight="14.5" x14ac:dyDescent="0.35"/>
  <cols>
    <col min="1" max="1" width="12.36328125" bestFit="1" customWidth="1"/>
    <col min="2" max="2" width="23" style="4" bestFit="1" customWidth="1"/>
    <col min="3" max="3" width="25.54296875" style="4" bestFit="1" customWidth="1"/>
    <col min="4" max="4" width="21.1796875" style="4" bestFit="1" customWidth="1"/>
    <col min="5" max="5" width="21.7265625" style="4" bestFit="1" customWidth="1"/>
    <col min="6" max="6" width="15.6328125" bestFit="1" customWidth="1"/>
    <col min="7" max="7" width="16.08984375" bestFit="1" customWidth="1"/>
    <col min="10" max="10" width="17.90625" bestFit="1" customWidth="1"/>
    <col min="11" max="11" width="24.7265625" bestFit="1" customWidth="1"/>
  </cols>
  <sheetData>
    <row r="1" spans="1:11" x14ac:dyDescent="0.35">
      <c r="A1" t="s">
        <v>688</v>
      </c>
      <c r="B1" s="4" t="s">
        <v>695</v>
      </c>
      <c r="C1" s="4" t="s">
        <v>696</v>
      </c>
      <c r="D1" s="4" t="s">
        <v>697</v>
      </c>
      <c r="E1" s="4" t="s">
        <v>698</v>
      </c>
    </row>
    <row r="2" spans="1:11" x14ac:dyDescent="0.35">
      <c r="A2" t="s">
        <v>689</v>
      </c>
      <c r="B2" s="4">
        <f>AVERAGE('Cleaned Data'!$F$2:$F$721)</f>
        <v>55.414464534075101</v>
      </c>
      <c r="C2" s="4">
        <f>AVERAGEIFS('Cleaned Data'!$F$2:$F$721,'Cleaned Data'!$E$2:$E$721,C$1)</f>
        <v>53.174999999999997</v>
      </c>
      <c r="D2" s="4">
        <f>AVERAGEIFS('Cleaned Data'!$F$2:$F$721,'Cleaned Data'!$E$2:$E$721,D$1)</f>
        <v>55.661087866108787</v>
      </c>
      <c r="E2" s="4">
        <f>AVERAGEIFS('Cleaned Data'!$F$2:$F$721,'Cleaned Data'!$E$2:$E$721,E$1)</f>
        <v>57.408333333333331</v>
      </c>
    </row>
    <row r="3" spans="1:11" x14ac:dyDescent="0.35">
      <c r="A3" t="s">
        <v>690</v>
      </c>
      <c r="B3" s="4">
        <f>AVERAGE('Cleaned Data'!$G$2:$G$721)</f>
        <v>61.453910614525142</v>
      </c>
      <c r="C3" s="4">
        <f>AVERAGEIFS('Cleaned Data'!$G$2:$G$721,'Cleaned Data'!$E$2:$E$721,C$1)</f>
        <v>59.3125</v>
      </c>
      <c r="D3" s="4">
        <f>AVERAGEIFS('Cleaned Data'!$G$2:$G$721,'Cleaned Data'!$E$2:$E$721,D$1)</f>
        <v>61.260504201680675</v>
      </c>
      <c r="E3" s="4">
        <f>AVERAGEIFS('Cleaned Data'!$G$2:$G$721,'Cleaned Data'!$E$2:$E$721,E$1)</f>
        <v>63.806722689075627</v>
      </c>
    </row>
    <row r="4" spans="1:11" x14ac:dyDescent="0.35">
      <c r="A4" t="s">
        <v>691</v>
      </c>
      <c r="B4" s="4">
        <f>AVERAGE('Cleaned Data'!$H$2:$H$721)</f>
        <v>59.437150837988824</v>
      </c>
      <c r="C4" s="4">
        <f>AVERAGEIFS('Cleaned Data'!$H$2:$H$721,'Cleaned Data'!$E$2:$E$721,C$1)</f>
        <v>56.87394957983193</v>
      </c>
      <c r="D4" s="4">
        <f>AVERAGEIFS('Cleaned Data'!$H$2:$H$721,'Cleaned Data'!$E$2:$E$721,D$1)</f>
        <v>59.652719665271967</v>
      </c>
      <c r="E4" s="4">
        <f>AVERAGEIFS('Cleaned Data'!$H$2:$H$721,'Cleaned Data'!$E$2:$E$721,E$1)</f>
        <v>61.77405857740586</v>
      </c>
      <c r="J4" s="25" t="s">
        <v>714</v>
      </c>
      <c r="K4" t="s">
        <v>718</v>
      </c>
    </row>
    <row r="5" spans="1:11" x14ac:dyDescent="0.35">
      <c r="A5" t="s">
        <v>692</v>
      </c>
      <c r="B5" s="4">
        <f>AVERAGE('Cleaned Data'!$I$2:$I$721)</f>
        <v>64.763560500695405</v>
      </c>
      <c r="C5" s="4">
        <f>AVERAGEIFS('Cleaned Data'!$I$2:$I$721,'Cleaned Data'!$E$2:$E$721,C$1)</f>
        <v>63.012552301255234</v>
      </c>
      <c r="D5" s="4">
        <f>AVERAGEIFS('Cleaned Data'!$I$2:$I$721,'Cleaned Data'!$E$2:$E$721,D$1)</f>
        <v>65.125</v>
      </c>
      <c r="E5" s="4">
        <f>AVERAGEIFS('Cleaned Data'!$I$2:$I$721,'Cleaned Data'!$E$2:$E$721,E$1)</f>
        <v>66.145833333333329</v>
      </c>
      <c r="J5" s="26" t="s">
        <v>689</v>
      </c>
      <c r="K5" s="4">
        <v>55.414464534075101</v>
      </c>
    </row>
    <row r="6" spans="1:11" x14ac:dyDescent="0.35">
      <c r="A6" t="s">
        <v>693</v>
      </c>
      <c r="B6" s="4">
        <f>AVERAGE('Cleaned Data'!$J$2:$J$721)</f>
        <v>65.607242339832865</v>
      </c>
      <c r="C6" s="4">
        <f>AVERAGEIFS('Cleaned Data'!$J$2:$J$721,'Cleaned Data'!$E$2:$E$721,C$1)</f>
        <v>63.30252100840336</v>
      </c>
      <c r="D6" s="4">
        <f>AVERAGEIFS('Cleaned Data'!$J$2:$J$721,'Cleaned Data'!$E$2:$E$721,D$1)</f>
        <v>65.433333333333337</v>
      </c>
      <c r="E6" s="4">
        <f>AVERAGEIFS('Cleaned Data'!$J$2:$J$721,'Cleaned Data'!$E$2:$E$721,E$1)</f>
        <v>68.066666666666663</v>
      </c>
      <c r="J6" s="26" t="s">
        <v>691</v>
      </c>
      <c r="K6" s="4">
        <v>59.437150837988824</v>
      </c>
    </row>
    <row r="7" spans="1:11" x14ac:dyDescent="0.35">
      <c r="A7" t="s">
        <v>694</v>
      </c>
      <c r="B7" s="4">
        <f>AVERAGE('Cleaned Data'!$K$2:$K$721)</f>
        <v>67.319444444444443</v>
      </c>
      <c r="C7" s="4">
        <f>AVERAGEIFS('Cleaned Data'!$K$2:$K$721,'Cleaned Data'!$E$2:$E$721,C$1)</f>
        <v>65.037499999999994</v>
      </c>
      <c r="D7" s="4">
        <f>AVERAGEIFS('Cleaned Data'!$K$2:$K$721,'Cleaned Data'!$E$2:$E$721,D$1)</f>
        <v>67.612499999999997</v>
      </c>
      <c r="E7" s="4">
        <f>AVERAGEIFS('Cleaned Data'!$K$2:$K$721,'Cleaned Data'!$E$2:$E$721,E$1)</f>
        <v>69.308333333333337</v>
      </c>
      <c r="J7" s="26" t="s">
        <v>690</v>
      </c>
      <c r="K7" s="4">
        <v>61.453910614525142</v>
      </c>
    </row>
    <row r="8" spans="1:11" x14ac:dyDescent="0.35">
      <c r="J8" s="26" t="s">
        <v>692</v>
      </c>
      <c r="K8" s="4">
        <v>64.763560500695405</v>
      </c>
    </row>
    <row r="9" spans="1:11" x14ac:dyDescent="0.35">
      <c r="J9" s="26" t="s">
        <v>693</v>
      </c>
      <c r="K9" s="4">
        <v>65.607242339832865</v>
      </c>
    </row>
    <row r="10" spans="1:11" x14ac:dyDescent="0.35">
      <c r="J10" s="26" t="s">
        <v>694</v>
      </c>
      <c r="K10" s="4">
        <v>67.319444444444443</v>
      </c>
    </row>
    <row r="11" spans="1:11" x14ac:dyDescent="0.35">
      <c r="J11" s="26" t="s">
        <v>715</v>
      </c>
      <c r="K11" s="4">
        <v>373.9957732715618</v>
      </c>
    </row>
    <row r="14" spans="1:11" x14ac:dyDescent="0.35">
      <c r="A14" s="25" t="s">
        <v>4</v>
      </c>
      <c r="B14" t="s">
        <v>17</v>
      </c>
      <c r="C14"/>
      <c r="E14" s="7"/>
    </row>
    <row r="15" spans="1:11" x14ac:dyDescent="0.35">
      <c r="B15"/>
      <c r="C15"/>
      <c r="E15" s="7"/>
    </row>
    <row r="16" spans="1:11" x14ac:dyDescent="0.35">
      <c r="A16" s="25" t="s">
        <v>714</v>
      </c>
      <c r="B16" t="s">
        <v>721</v>
      </c>
      <c r="C16" t="s">
        <v>722</v>
      </c>
      <c r="D16" t="s">
        <v>723</v>
      </c>
      <c r="E16" t="s">
        <v>724</v>
      </c>
      <c r="F16" t="s">
        <v>725</v>
      </c>
      <c r="G16" t="s">
        <v>726</v>
      </c>
    </row>
    <row r="17" spans="1:7" x14ac:dyDescent="0.35">
      <c r="A17" s="26" t="s">
        <v>14</v>
      </c>
      <c r="B17" s="4">
        <v>66.375</v>
      </c>
      <c r="C17" s="4">
        <v>65.5</v>
      </c>
      <c r="D17" s="4">
        <v>59.1</v>
      </c>
      <c r="E17" s="4">
        <v>65.724999999999994</v>
      </c>
      <c r="F17" s="4">
        <v>53.524999999999999</v>
      </c>
      <c r="G17" s="4">
        <v>61.475000000000001</v>
      </c>
    </row>
    <row r="18" spans="1:7" x14ac:dyDescent="0.35">
      <c r="A18" s="26" t="s">
        <v>715</v>
      </c>
      <c r="B18" s="4">
        <v>66.375</v>
      </c>
      <c r="C18" s="4">
        <v>65.5</v>
      </c>
      <c r="D18" s="4">
        <v>59.1</v>
      </c>
      <c r="E18" s="4">
        <v>65.724999999999994</v>
      </c>
      <c r="F18" s="4">
        <v>53.524999999999999</v>
      </c>
      <c r="G18" s="4">
        <v>61.475000000000001</v>
      </c>
    </row>
    <row r="19" spans="1:7" x14ac:dyDescent="0.35">
      <c r="B19"/>
      <c r="C19"/>
      <c r="D19"/>
      <c r="E19"/>
    </row>
    <row r="20" spans="1:7" x14ac:dyDescent="0.35">
      <c r="B20"/>
      <c r="C20"/>
      <c r="D20"/>
      <c r="E20"/>
    </row>
    <row r="21" spans="1:7" x14ac:dyDescent="0.35">
      <c r="B21"/>
      <c r="C21"/>
      <c r="D21"/>
      <c r="E21"/>
    </row>
    <row r="22" spans="1:7" x14ac:dyDescent="0.35">
      <c r="B22"/>
      <c r="C22"/>
      <c r="D22"/>
      <c r="E22"/>
    </row>
    <row r="23" spans="1:7" x14ac:dyDescent="0.35">
      <c r="B23"/>
      <c r="C23"/>
      <c r="D23"/>
      <c r="E23"/>
    </row>
  </sheetData>
  <pageMargins left="0.7" right="0.7" top="0.75" bottom="0.75" header="0.3" footer="0.3"/>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177BE-CF95-49AD-8DE5-E01ACBD76607}">
  <dimension ref="A1:K241"/>
  <sheetViews>
    <sheetView showGridLines="0" workbookViewId="0">
      <selection activeCell="J13" sqref="J13"/>
    </sheetView>
  </sheetViews>
  <sheetFormatPr defaultRowHeight="14.5" x14ac:dyDescent="0.35"/>
  <cols>
    <col min="1" max="1" width="12.81640625" customWidth="1"/>
    <col min="2" max="2" width="18" customWidth="1"/>
    <col min="3" max="3" width="14.08984375" style="4" customWidth="1"/>
    <col min="4" max="4" width="13.26953125" style="4" customWidth="1"/>
    <col min="5" max="5" width="12.81640625" style="4" customWidth="1"/>
    <col min="6" max="6" width="10.1796875" customWidth="1"/>
    <col min="8" max="8" width="8.7265625" customWidth="1"/>
    <col min="9" max="9" width="12.54296875" customWidth="1"/>
    <col min="10" max="10" width="13.26953125" customWidth="1"/>
    <col min="11" max="11" width="16.08984375" customWidth="1"/>
  </cols>
  <sheetData>
    <row r="1" spans="1:11" x14ac:dyDescent="0.35">
      <c r="A1" t="s">
        <v>701</v>
      </c>
      <c r="B1" t="s">
        <v>700</v>
      </c>
      <c r="C1" s="4" t="s">
        <v>696</v>
      </c>
      <c r="D1" s="4" t="s">
        <v>698</v>
      </c>
      <c r="E1" s="4" t="s">
        <v>699</v>
      </c>
      <c r="F1" t="s">
        <v>702</v>
      </c>
      <c r="H1" t="s">
        <v>683</v>
      </c>
      <c r="I1" t="s">
        <v>696</v>
      </c>
      <c r="J1" t="s">
        <v>698</v>
      </c>
      <c r="K1" t="s">
        <v>719</v>
      </c>
    </row>
    <row r="2" spans="1:11" x14ac:dyDescent="0.35">
      <c r="A2" s="8" t="s">
        <v>11</v>
      </c>
      <c r="B2" t="str">
        <f>_xlfn.XLOOKUP(A2,'Cleaned Data'!$A$2:$A$721,'Cleaned Data'!$B$2:$B$721)</f>
        <v>John Danjuma</v>
      </c>
      <c r="C2" s="4">
        <f>AVERAGEIFS('Cleaned Data'!$M$2:$M$721,'Cleaned Data'!$A$2:$A$721,A2,'Cleaned Data'!$E$2:$E$721,"First Term")</f>
        <v>79</v>
      </c>
      <c r="D2" s="4">
        <f>AVERAGEIFS('Cleaned Data'!$M$2:$M$721,'Cleaned Data'!$A$2:$A$721,A2,'Cleaned Data'!$E$2:$E$721,"Third Term")</f>
        <v>72.166666666666671</v>
      </c>
      <c r="E2" s="4">
        <f t="shared" ref="E2:E65" si="0">D2-C2</f>
        <v>-6.8333333333333286</v>
      </c>
      <c r="F2" t="str">
        <f t="shared" ref="F2:F65" si="1">IF(E2&gt;0,"Improved",IF(E2&lt;0,"Dropped","Unchanged"))</f>
        <v>Dropped</v>
      </c>
      <c r="H2" t="s">
        <v>14</v>
      </c>
      <c r="I2" s="4">
        <f>AVERAGEIFS('Cleaned Data'!$M$2:$M$721,'Cleaned Data'!$D$2:$D$721,H2,'Cleaned Data'!$E$2:$E$721,"First Term")</f>
        <v>60.008333333333347</v>
      </c>
      <c r="J2" s="4">
        <f>AVERAGEIFS('Cleaned Data'!$M$2:$M$721,'Cleaned Data'!$D$2:$D$721,H2,'Cleaned Data'!$E$2:$E$721,"Third Term")</f>
        <v>63.168333333333337</v>
      </c>
      <c r="K2" s="4">
        <f>J2-I2</f>
        <v>3.1599999999999895</v>
      </c>
    </row>
    <row r="3" spans="1:11" x14ac:dyDescent="0.35">
      <c r="A3" s="9" t="s">
        <v>21</v>
      </c>
      <c r="B3" t="str">
        <f>_xlfn.XLOOKUP(A3,'Cleaned Data'!$A$2:$A$721,'Cleaned Data'!$B$2:$B$721)</f>
        <v>Damilola Danjuma</v>
      </c>
      <c r="C3" s="4">
        <f>AVERAGEIFS('Cleaned Data'!$M$2:$M$721,'Cleaned Data'!$A$2:$A$721,A3,'Cleaned Data'!$E$2:$E$721,"First Term")</f>
        <v>47.166666666666664</v>
      </c>
      <c r="D3" s="4">
        <f>AVERAGEIFS('Cleaned Data'!$M$2:$M$721,'Cleaned Data'!$A$2:$A$721,A3,'Cleaned Data'!$E$2:$E$721,"Third Term")</f>
        <v>49</v>
      </c>
      <c r="E3" s="4">
        <f t="shared" si="0"/>
        <v>1.8333333333333357</v>
      </c>
      <c r="F3" t="str">
        <f t="shared" si="1"/>
        <v>Improved</v>
      </c>
      <c r="H3" t="s">
        <v>131</v>
      </c>
      <c r="I3" s="4">
        <f>AVERAGEIFS('Cleaned Data'!$M$2:$M$721,'Cleaned Data'!$D$2:$D$721,H3,'Cleaned Data'!$E$2:$E$721,"First Term")</f>
        <v>59.189583333333346</v>
      </c>
      <c r="J3" s="4">
        <f>AVERAGEIFS('Cleaned Data'!$M$2:$M$721,'Cleaned Data'!$D$2:$D$721,H3,'Cleaned Data'!$E$2:$E$721,"Third Term")</f>
        <v>63.540000000000006</v>
      </c>
      <c r="K3" s="4">
        <f t="shared" ref="K3:K7" si="2">J3-I3</f>
        <v>4.3504166666666606</v>
      </c>
    </row>
    <row r="4" spans="1:11" x14ac:dyDescent="0.35">
      <c r="A4" s="8" t="s">
        <v>28</v>
      </c>
      <c r="B4" t="str">
        <f>_xlfn.XLOOKUP(A4,'Cleaned Data'!$A$2:$A$721,'Cleaned Data'!$B$2:$B$721)</f>
        <v>Khadija Johnson</v>
      </c>
      <c r="C4" s="4">
        <f>AVERAGEIFS('Cleaned Data'!$M$2:$M$721,'Cleaned Data'!$A$2:$A$721,A4,'Cleaned Data'!$E$2:$E$721,"First Term")</f>
        <v>70.5</v>
      </c>
      <c r="D4" s="4">
        <f>AVERAGEIFS('Cleaned Data'!$M$2:$M$721,'Cleaned Data'!$A$2:$A$721,A4,'Cleaned Data'!$E$2:$E$721,"Third Term")</f>
        <v>59.833333333333336</v>
      </c>
      <c r="E4" s="4">
        <f t="shared" si="0"/>
        <v>-10.666666666666664</v>
      </c>
      <c r="F4" t="str">
        <f t="shared" si="1"/>
        <v>Dropped</v>
      </c>
      <c r="H4" t="s">
        <v>247</v>
      </c>
      <c r="I4" s="4">
        <f>AVERAGEIFS('Cleaned Data'!$M$2:$M$721,'Cleaned Data'!$D$2:$D$721,H4,'Cleaned Data'!$E$2:$E$721,"First Term")</f>
        <v>61.479166666666664</v>
      </c>
      <c r="J4" s="4">
        <f>AVERAGEIFS('Cleaned Data'!$M$2:$M$721,'Cleaned Data'!$D$2:$D$721,H4,'Cleaned Data'!$E$2:$E$721,"Third Term")</f>
        <v>65.5625</v>
      </c>
      <c r="K4" s="4">
        <f t="shared" si="2"/>
        <v>4.0833333333333357</v>
      </c>
    </row>
    <row r="5" spans="1:11" x14ac:dyDescent="0.35">
      <c r="A5" s="9" t="s">
        <v>31</v>
      </c>
      <c r="B5" t="str">
        <f>_xlfn.XLOOKUP(A5,'Cleaned Data'!$A$2:$A$721,'Cleaned Data'!$B$2:$B$721)</f>
        <v>Favour Yakubu</v>
      </c>
      <c r="C5" s="4">
        <f>AVERAGEIFS('Cleaned Data'!$M$2:$M$721,'Cleaned Data'!$A$2:$A$721,A5,'Cleaned Data'!$E$2:$E$721,"First Term")</f>
        <v>76.5</v>
      </c>
      <c r="D5" s="4">
        <f>AVERAGEIFS('Cleaned Data'!$M$2:$M$721,'Cleaned Data'!$A$2:$A$721,A5,'Cleaned Data'!$E$2:$E$721,"Third Term")</f>
        <v>76.833333333333329</v>
      </c>
      <c r="E5" s="4">
        <f t="shared" si="0"/>
        <v>0.3333333333333286</v>
      </c>
      <c r="F5" t="str">
        <f t="shared" si="1"/>
        <v>Improved</v>
      </c>
      <c r="H5" t="s">
        <v>351</v>
      </c>
      <c r="I5" s="4">
        <f>AVERAGEIFS('Cleaned Data'!$M$2:$M$721,'Cleaned Data'!$D$2:$D$721,H5,'Cleaned Data'!$E$2:$E$721,"First Term")</f>
        <v>61.579166666666666</v>
      </c>
      <c r="J5" s="4">
        <f>AVERAGEIFS('Cleaned Data'!$M$2:$M$721,'Cleaned Data'!$D$2:$D$721,H5,'Cleaned Data'!$E$2:$E$721,"Third Term")</f>
        <v>64.925000000000011</v>
      </c>
      <c r="K5" s="4">
        <f t="shared" si="2"/>
        <v>3.3458333333333456</v>
      </c>
    </row>
    <row r="6" spans="1:11" x14ac:dyDescent="0.35">
      <c r="A6" s="8" t="s">
        <v>35</v>
      </c>
      <c r="B6" t="str">
        <f>_xlfn.XLOOKUP(A6,'Cleaned Data'!$A$2:$A$721,'Cleaned Data'!$B$2:$B$721)</f>
        <v>Emeka Olawale</v>
      </c>
      <c r="C6" s="4">
        <f>AVERAGEIFS('Cleaned Data'!$M$2:$M$721,'Cleaned Data'!$A$2:$A$721,A6,'Cleaned Data'!$E$2:$E$721,"First Term")</f>
        <v>63.5</v>
      </c>
      <c r="D6" s="4">
        <f>AVERAGEIFS('Cleaned Data'!$M$2:$M$721,'Cleaned Data'!$A$2:$A$721,A6,'Cleaned Data'!$E$2:$E$721,"Third Term")</f>
        <v>66.166666666666671</v>
      </c>
      <c r="E6" s="4">
        <f t="shared" si="0"/>
        <v>2.6666666666666714</v>
      </c>
      <c r="F6" t="str">
        <f t="shared" si="1"/>
        <v>Improved</v>
      </c>
      <c r="H6" t="s">
        <v>460</v>
      </c>
      <c r="I6" s="4">
        <f>AVERAGEIFS('Cleaned Data'!$M$2:$M$721,'Cleaned Data'!$D$2:$D$721,H6,'Cleaned Data'!$E$2:$E$721,"First Term")</f>
        <v>57.662499999999987</v>
      </c>
      <c r="J6" s="4">
        <f>AVERAGEIFS('Cleaned Data'!$M$2:$M$721,'Cleaned Data'!$D$2:$D$721,H6,'Cleaned Data'!$E$2:$E$721,"Third Term")</f>
        <v>62.65</v>
      </c>
      <c r="K6" s="4">
        <f t="shared" si="2"/>
        <v>4.9875000000000114</v>
      </c>
    </row>
    <row r="7" spans="1:11" x14ac:dyDescent="0.35">
      <c r="A7" s="9" t="s">
        <v>39</v>
      </c>
      <c r="B7" t="str">
        <f>_xlfn.XLOOKUP(A7,'Cleaned Data'!$A$2:$A$721,'Cleaned Data'!$B$2:$B$721)</f>
        <v>John Anyanwu</v>
      </c>
      <c r="C7" s="4">
        <f>AVERAGEIFS('Cleaned Data'!$M$2:$M$721,'Cleaned Data'!$A$2:$A$721,A7,'Cleaned Data'!$E$2:$E$721,"First Term")</f>
        <v>79</v>
      </c>
      <c r="D7" s="4">
        <f>AVERAGEIFS('Cleaned Data'!$M$2:$M$721,'Cleaned Data'!$A$2:$A$721,A7,'Cleaned Data'!$E$2:$E$721,"Third Term")</f>
        <v>66.400000000000006</v>
      </c>
      <c r="E7" s="4">
        <f t="shared" si="0"/>
        <v>-12.599999999999994</v>
      </c>
      <c r="F7" t="str">
        <f t="shared" si="1"/>
        <v>Dropped</v>
      </c>
      <c r="H7" t="s">
        <v>568</v>
      </c>
      <c r="I7" s="4">
        <f>AVERAGEIFS('Cleaned Data'!$M$2:$M$721,'Cleaned Data'!$D$2:$D$721,H7,'Cleaned Data'!$E$2:$E$721,"First Term")</f>
        <v>60.67499999999999</v>
      </c>
      <c r="J7" s="4">
        <f>AVERAGEIFS('Cleaned Data'!$M$2:$M$721,'Cleaned Data'!$D$2:$D$721,H7,'Cleaned Data'!$E$2:$E$721,"Third Term")</f>
        <v>66.724999999999994</v>
      </c>
      <c r="K7" s="4">
        <f t="shared" si="2"/>
        <v>6.0500000000000043</v>
      </c>
    </row>
    <row r="8" spans="1:11" x14ac:dyDescent="0.35">
      <c r="A8" s="8" t="s">
        <v>41</v>
      </c>
      <c r="B8" t="str">
        <f>_xlfn.XLOOKUP(A8,'Cleaned Data'!$A$2:$A$721,'Cleaned Data'!$B$2:$B$721)</f>
        <v>Zainab Ogunleye</v>
      </c>
      <c r="C8" s="4">
        <f>AVERAGEIFS('Cleaned Data'!$M$2:$M$721,'Cleaned Data'!$A$2:$A$721,A8,'Cleaned Data'!$E$2:$E$721,"First Term")</f>
        <v>52.833333333333336</v>
      </c>
      <c r="D8" s="4">
        <f>AVERAGEIFS('Cleaned Data'!$M$2:$M$721,'Cleaned Data'!$A$2:$A$721,A8,'Cleaned Data'!$E$2:$E$721,"Third Term")</f>
        <v>50.666666666666664</v>
      </c>
      <c r="E8" s="4">
        <f t="shared" si="0"/>
        <v>-2.1666666666666714</v>
      </c>
      <c r="F8" t="str">
        <f t="shared" si="1"/>
        <v>Dropped</v>
      </c>
    </row>
    <row r="9" spans="1:11" x14ac:dyDescent="0.35">
      <c r="A9" s="9" t="s">
        <v>43</v>
      </c>
      <c r="B9" t="str">
        <f>_xlfn.XLOOKUP(A9,'Cleaned Data'!$A$2:$A$721,'Cleaned Data'!$B$2:$B$721)</f>
        <v>Obiageli Umar</v>
      </c>
      <c r="C9" s="4">
        <f>AVERAGEIFS('Cleaned Data'!$M$2:$M$721,'Cleaned Data'!$A$2:$A$721,A9,'Cleaned Data'!$E$2:$E$721,"First Term")</f>
        <v>73.5</v>
      </c>
      <c r="D9" s="4">
        <f>AVERAGEIFS('Cleaned Data'!$M$2:$M$721,'Cleaned Data'!$A$2:$A$721,A9,'Cleaned Data'!$E$2:$E$721,"Third Term")</f>
        <v>67.833333333333329</v>
      </c>
      <c r="E9" s="4">
        <f t="shared" si="0"/>
        <v>-5.6666666666666714</v>
      </c>
      <c r="F9" t="str">
        <f t="shared" si="1"/>
        <v>Dropped</v>
      </c>
    </row>
    <row r="10" spans="1:11" x14ac:dyDescent="0.35">
      <c r="A10" s="8" t="s">
        <v>46</v>
      </c>
      <c r="B10" t="str">
        <f>_xlfn.XLOOKUP(A10,'Cleaned Data'!$A$2:$A$721,'Cleaned Data'!$B$2:$B$721)</f>
        <v>Nkechi Adebayo</v>
      </c>
      <c r="C10" s="4">
        <f>AVERAGEIFS('Cleaned Data'!$M$2:$M$721,'Cleaned Data'!$A$2:$A$721,A10,'Cleaned Data'!$E$2:$E$721,"First Term")</f>
        <v>56.833333333333336</v>
      </c>
      <c r="D10" s="4">
        <f>AVERAGEIFS('Cleaned Data'!$M$2:$M$721,'Cleaned Data'!$A$2:$A$721,A10,'Cleaned Data'!$E$2:$E$721,"Third Term")</f>
        <v>54.333333333333336</v>
      </c>
      <c r="E10" s="4">
        <f t="shared" si="0"/>
        <v>-2.5</v>
      </c>
      <c r="F10" t="str">
        <f t="shared" si="1"/>
        <v>Dropped</v>
      </c>
    </row>
    <row r="11" spans="1:11" x14ac:dyDescent="0.35">
      <c r="A11" s="9" t="s">
        <v>49</v>
      </c>
      <c r="B11" t="str">
        <f>_xlfn.XLOOKUP(A11,'Cleaned Data'!$A$2:$A$721,'Cleaned Data'!$B$2:$B$721)</f>
        <v>Olumide Umar</v>
      </c>
      <c r="C11" s="4">
        <f>AVERAGEIFS('Cleaned Data'!$M$2:$M$721,'Cleaned Data'!$A$2:$A$721,A11,'Cleaned Data'!$E$2:$E$721,"First Term")</f>
        <v>54.166666666666664</v>
      </c>
      <c r="D11" s="4">
        <f>AVERAGEIFS('Cleaned Data'!$M$2:$M$721,'Cleaned Data'!$A$2:$A$721,A11,'Cleaned Data'!$E$2:$E$721,"Third Term")</f>
        <v>65.333333333333329</v>
      </c>
      <c r="E11" s="4">
        <f t="shared" si="0"/>
        <v>11.166666666666664</v>
      </c>
      <c r="F11" t="str">
        <f t="shared" si="1"/>
        <v>Improved</v>
      </c>
    </row>
    <row r="12" spans="1:11" x14ac:dyDescent="0.35">
      <c r="A12" s="8" t="s">
        <v>51</v>
      </c>
      <c r="B12" t="str">
        <f>_xlfn.XLOOKUP(A12,'Cleaned Data'!$A$2:$A$721,'Cleaned Data'!$B$2:$B$721)</f>
        <v>Daniel Onyeka</v>
      </c>
      <c r="C12" s="4">
        <f>AVERAGEIFS('Cleaned Data'!$M$2:$M$721,'Cleaned Data'!$A$2:$A$721,A12,'Cleaned Data'!$E$2:$E$721,"First Term")</f>
        <v>39.833333333333336</v>
      </c>
      <c r="D12" s="4">
        <f>AVERAGEIFS('Cleaned Data'!$M$2:$M$721,'Cleaned Data'!$A$2:$A$721,A12,'Cleaned Data'!$E$2:$E$721,"Third Term")</f>
        <v>60</v>
      </c>
      <c r="E12" s="4">
        <f t="shared" si="0"/>
        <v>20.166666666666664</v>
      </c>
      <c r="F12" t="str">
        <f t="shared" si="1"/>
        <v>Improved</v>
      </c>
    </row>
    <row r="13" spans="1:11" x14ac:dyDescent="0.35">
      <c r="A13" s="9" t="s">
        <v>54</v>
      </c>
      <c r="B13" t="str">
        <f>_xlfn.XLOOKUP(A13,'Cleaned Data'!$A$2:$A$721,'Cleaned Data'!$B$2:$B$721)</f>
        <v>Daniel Kalu</v>
      </c>
      <c r="C13" s="4">
        <f>AVERAGEIFS('Cleaned Data'!$M$2:$M$721,'Cleaned Data'!$A$2:$A$721,A13,'Cleaned Data'!$E$2:$E$721,"First Term")</f>
        <v>70.166666666666671</v>
      </c>
      <c r="D13" s="4">
        <f>AVERAGEIFS('Cleaned Data'!$M$2:$M$721,'Cleaned Data'!$A$2:$A$721,A13,'Cleaned Data'!$E$2:$E$721,"Third Term")</f>
        <v>73.833333333333329</v>
      </c>
      <c r="E13" s="4">
        <f t="shared" si="0"/>
        <v>3.6666666666666572</v>
      </c>
      <c r="F13" t="str">
        <f t="shared" si="1"/>
        <v>Improved</v>
      </c>
    </row>
    <row r="14" spans="1:11" x14ac:dyDescent="0.35">
      <c r="A14" s="8" t="s">
        <v>56</v>
      </c>
      <c r="B14" t="str">
        <f>_xlfn.XLOOKUP(A14,'Cleaned Data'!$A$2:$A$721,'Cleaned Data'!$B$2:$B$721)</f>
        <v>Sani Adewale</v>
      </c>
      <c r="C14" s="4">
        <f>AVERAGEIFS('Cleaned Data'!$M$2:$M$721,'Cleaned Data'!$A$2:$A$721,A14,'Cleaned Data'!$E$2:$E$721,"First Term")</f>
        <v>69.833333333333329</v>
      </c>
      <c r="D14" s="4">
        <f>AVERAGEIFS('Cleaned Data'!$M$2:$M$721,'Cleaned Data'!$A$2:$A$721,A14,'Cleaned Data'!$E$2:$E$721,"Third Term")</f>
        <v>62.5</v>
      </c>
      <c r="E14" s="4">
        <f t="shared" si="0"/>
        <v>-7.3333333333333286</v>
      </c>
      <c r="F14" t="str">
        <f t="shared" si="1"/>
        <v>Dropped</v>
      </c>
    </row>
    <row r="15" spans="1:11" x14ac:dyDescent="0.35">
      <c r="A15" s="9" t="s">
        <v>60</v>
      </c>
      <c r="B15" t="str">
        <f>_xlfn.XLOOKUP(A15,'Cleaned Data'!$A$2:$A$721,'Cleaned Data'!$B$2:$B$721)</f>
        <v>Uchenna Ogundipe</v>
      </c>
      <c r="C15" s="4">
        <f>AVERAGEIFS('Cleaned Data'!$M$2:$M$721,'Cleaned Data'!$A$2:$A$721,A15,'Cleaned Data'!$E$2:$E$721,"First Term")</f>
        <v>59.166666666666664</v>
      </c>
      <c r="D15" s="4">
        <f>AVERAGEIFS('Cleaned Data'!$M$2:$M$721,'Cleaned Data'!$A$2:$A$721,A15,'Cleaned Data'!$E$2:$E$721,"Third Term")</f>
        <v>57</v>
      </c>
      <c r="E15" s="4">
        <f t="shared" si="0"/>
        <v>-2.1666666666666643</v>
      </c>
      <c r="F15" t="str">
        <f t="shared" si="1"/>
        <v>Dropped</v>
      </c>
    </row>
    <row r="16" spans="1:11" x14ac:dyDescent="0.35">
      <c r="A16" s="8" t="s">
        <v>62</v>
      </c>
      <c r="B16" t="str">
        <f>_xlfn.XLOOKUP(A16,'Cleaned Data'!$A$2:$A$721,'Cleaned Data'!$B$2:$B$721)</f>
        <v>David Oladipo</v>
      </c>
      <c r="C16" s="4">
        <f>AVERAGEIFS('Cleaned Data'!$M$2:$M$721,'Cleaned Data'!$A$2:$A$721,A16,'Cleaned Data'!$E$2:$E$721,"First Term")</f>
        <v>56</v>
      </c>
      <c r="D16" s="4">
        <f>AVERAGEIFS('Cleaned Data'!$M$2:$M$721,'Cleaned Data'!$A$2:$A$721,A16,'Cleaned Data'!$E$2:$E$721,"Third Term")</f>
        <v>61.5</v>
      </c>
      <c r="E16" s="4">
        <f t="shared" si="0"/>
        <v>5.5</v>
      </c>
      <c r="F16" t="str">
        <f t="shared" si="1"/>
        <v>Improved</v>
      </c>
      <c r="H16" s="16" t="s">
        <v>709</v>
      </c>
    </row>
    <row r="17" spans="1:9" x14ac:dyDescent="0.35">
      <c r="A17" s="9" t="s">
        <v>64</v>
      </c>
      <c r="B17" t="str">
        <f>_xlfn.XLOOKUP(A17,'Cleaned Data'!$A$2:$A$721,'Cleaned Data'!$B$2:$B$721)</f>
        <v>Tayo Ogundipe</v>
      </c>
      <c r="C17" s="4">
        <f>AVERAGEIFS('Cleaned Data'!$M$2:$M$721,'Cleaned Data'!$A$2:$A$721,A17,'Cleaned Data'!$E$2:$E$721,"First Term")</f>
        <v>52.333333333333336</v>
      </c>
      <c r="D17" s="4">
        <f>AVERAGEIFS('Cleaned Data'!$M$2:$M$721,'Cleaned Data'!$A$2:$A$721,A17,'Cleaned Data'!$E$2:$E$721,"Third Term")</f>
        <v>50.833333333333336</v>
      </c>
      <c r="E17" s="4">
        <f t="shared" si="0"/>
        <v>-1.5</v>
      </c>
      <c r="F17" t="str">
        <f t="shared" si="1"/>
        <v>Dropped</v>
      </c>
      <c r="H17" s="16" t="s">
        <v>710</v>
      </c>
      <c r="I17" s="16"/>
    </row>
    <row r="18" spans="1:9" x14ac:dyDescent="0.35">
      <c r="A18" s="8" t="s">
        <v>68</v>
      </c>
      <c r="B18" t="str">
        <f>_xlfn.XLOOKUP(A18,'Cleaned Data'!$A$2:$A$721,'Cleaned Data'!$B$2:$B$721)</f>
        <v>Ngozi Agu</v>
      </c>
      <c r="C18" s="4">
        <f>AVERAGEIFS('Cleaned Data'!$M$2:$M$721,'Cleaned Data'!$A$2:$A$721,A18,'Cleaned Data'!$E$2:$E$721,"First Term")</f>
        <v>48.666666666666664</v>
      </c>
      <c r="D18" s="4">
        <f>AVERAGEIFS('Cleaned Data'!$M$2:$M$721,'Cleaned Data'!$A$2:$A$721,A18,'Cleaned Data'!$E$2:$E$721,"Third Term")</f>
        <v>46.333333333333336</v>
      </c>
      <c r="E18" s="4">
        <f t="shared" si="0"/>
        <v>-2.3333333333333286</v>
      </c>
      <c r="F18" t="str">
        <f t="shared" si="1"/>
        <v>Dropped</v>
      </c>
      <c r="H18" s="16" t="s">
        <v>711</v>
      </c>
    </row>
    <row r="19" spans="1:9" x14ac:dyDescent="0.35">
      <c r="A19" s="9" t="s">
        <v>70</v>
      </c>
      <c r="B19" t="str">
        <f>_xlfn.XLOOKUP(A19,'Cleaned Data'!$A$2:$A$721,'Cleaned Data'!$B$2:$B$721)</f>
        <v>Dayo Williams</v>
      </c>
      <c r="C19" s="4">
        <f>AVERAGEIFS('Cleaned Data'!$M$2:$M$721,'Cleaned Data'!$A$2:$A$721,A19,'Cleaned Data'!$E$2:$E$721,"First Term")</f>
        <v>47</v>
      </c>
      <c r="D19" s="4">
        <f>AVERAGEIFS('Cleaned Data'!$M$2:$M$721,'Cleaned Data'!$A$2:$A$721,A19,'Cleaned Data'!$E$2:$E$721,"Third Term")</f>
        <v>54.333333333333336</v>
      </c>
      <c r="E19" s="4">
        <f t="shared" si="0"/>
        <v>7.3333333333333357</v>
      </c>
      <c r="F19" t="str">
        <f t="shared" si="1"/>
        <v>Improved</v>
      </c>
      <c r="H19" s="16" t="s">
        <v>712</v>
      </c>
      <c r="I19" s="16"/>
    </row>
    <row r="20" spans="1:9" x14ac:dyDescent="0.35">
      <c r="A20" s="8" t="s">
        <v>72</v>
      </c>
      <c r="B20" t="str">
        <f>_xlfn.XLOOKUP(A20,'Cleaned Data'!$A$2:$A$721,'Cleaned Data'!$B$2:$B$721)</f>
        <v>Grace Olawale</v>
      </c>
      <c r="C20" s="4">
        <f>AVERAGEIFS('Cleaned Data'!$M$2:$M$721,'Cleaned Data'!$A$2:$A$721,A20,'Cleaned Data'!$E$2:$E$721,"First Term")</f>
        <v>47.333333333333336</v>
      </c>
      <c r="D20" s="4">
        <f>AVERAGEIFS('Cleaned Data'!$M$2:$M$721,'Cleaned Data'!$A$2:$A$721,A20,'Cleaned Data'!$E$2:$E$721,"Third Term")</f>
        <v>52.166666666666664</v>
      </c>
      <c r="E20" s="4">
        <f t="shared" si="0"/>
        <v>4.8333333333333286</v>
      </c>
      <c r="F20" t="str">
        <f t="shared" si="1"/>
        <v>Improved</v>
      </c>
      <c r="H20" s="16" t="s">
        <v>713</v>
      </c>
    </row>
    <row r="21" spans="1:9" x14ac:dyDescent="0.35">
      <c r="A21" s="9" t="s">
        <v>74</v>
      </c>
      <c r="B21" t="str">
        <f>_xlfn.XLOOKUP(A21,'Cleaned Data'!$A$2:$A$721,'Cleaned Data'!$B$2:$B$721)</f>
        <v>Abdullah Akinola</v>
      </c>
      <c r="C21" s="4">
        <f>AVERAGEIFS('Cleaned Data'!$M$2:$M$721,'Cleaned Data'!$A$2:$A$721,A21,'Cleaned Data'!$E$2:$E$721,"First Term")</f>
        <v>76.5</v>
      </c>
      <c r="D21" s="4">
        <f>AVERAGEIFS('Cleaned Data'!$M$2:$M$721,'Cleaned Data'!$A$2:$A$721,A21,'Cleaned Data'!$E$2:$E$721,"Third Term")</f>
        <v>88.833333333333329</v>
      </c>
      <c r="E21" s="4">
        <f t="shared" si="0"/>
        <v>12.333333333333329</v>
      </c>
      <c r="F21" t="str">
        <f t="shared" si="1"/>
        <v>Improved</v>
      </c>
    </row>
    <row r="22" spans="1:9" x14ac:dyDescent="0.35">
      <c r="A22" s="8" t="s">
        <v>78</v>
      </c>
      <c r="B22" t="str">
        <f>_xlfn.XLOOKUP(A22,'Cleaned Data'!$A$2:$A$721,'Cleaned Data'!$B$2:$B$721)</f>
        <v>John Ajayi</v>
      </c>
      <c r="C22" s="4">
        <f>AVERAGEIFS('Cleaned Data'!$M$2:$M$721,'Cleaned Data'!$A$2:$A$721,A22,'Cleaned Data'!$E$2:$E$721,"First Term")</f>
        <v>60.333333333333336</v>
      </c>
      <c r="D22" s="4">
        <f>AVERAGEIFS('Cleaned Data'!$M$2:$M$721,'Cleaned Data'!$A$2:$A$721,A22,'Cleaned Data'!$E$2:$E$721,"Third Term")</f>
        <v>59.666666666666664</v>
      </c>
      <c r="E22" s="4">
        <f t="shared" si="0"/>
        <v>-0.6666666666666714</v>
      </c>
      <c r="F22" t="str">
        <f t="shared" si="1"/>
        <v>Dropped</v>
      </c>
    </row>
    <row r="23" spans="1:9" x14ac:dyDescent="0.35">
      <c r="A23" s="9" t="s">
        <v>80</v>
      </c>
      <c r="B23" t="str">
        <f>_xlfn.XLOOKUP(A23,'Cleaned Data'!$A$2:$A$721,'Cleaned Data'!$B$2:$B$721)</f>
        <v>Precious Bello</v>
      </c>
      <c r="C23" s="4">
        <f>AVERAGEIFS('Cleaned Data'!$M$2:$M$721,'Cleaned Data'!$A$2:$A$721,A23,'Cleaned Data'!$E$2:$E$721,"First Term")</f>
        <v>47</v>
      </c>
      <c r="D23" s="4">
        <f>AVERAGEIFS('Cleaned Data'!$M$2:$M$721,'Cleaned Data'!$A$2:$A$721,A23,'Cleaned Data'!$E$2:$E$721,"Third Term")</f>
        <v>68.166666666666671</v>
      </c>
      <c r="E23" s="4">
        <f t="shared" si="0"/>
        <v>21.166666666666671</v>
      </c>
      <c r="F23" t="str">
        <f t="shared" si="1"/>
        <v>Improved</v>
      </c>
    </row>
    <row r="24" spans="1:9" x14ac:dyDescent="0.35">
      <c r="A24" s="8" t="s">
        <v>83</v>
      </c>
      <c r="B24" t="str">
        <f>_xlfn.XLOOKUP(A24,'Cleaned Data'!$A$2:$A$721,'Cleaned Data'!$B$2:$B$721)</f>
        <v>Aminu Kalu</v>
      </c>
      <c r="C24" s="4">
        <f>AVERAGEIFS('Cleaned Data'!$M$2:$M$721,'Cleaned Data'!$A$2:$A$721,A24,'Cleaned Data'!$E$2:$E$721,"First Term")</f>
        <v>61</v>
      </c>
      <c r="D24" s="4">
        <f>AVERAGEIFS('Cleaned Data'!$M$2:$M$721,'Cleaned Data'!$A$2:$A$721,A24,'Cleaned Data'!$E$2:$E$721,"Third Term")</f>
        <v>54.5</v>
      </c>
      <c r="E24" s="4">
        <f t="shared" si="0"/>
        <v>-6.5</v>
      </c>
      <c r="F24" t="str">
        <f t="shared" si="1"/>
        <v>Dropped</v>
      </c>
    </row>
    <row r="25" spans="1:9" x14ac:dyDescent="0.35">
      <c r="A25" s="9" t="s">
        <v>85</v>
      </c>
      <c r="B25" t="str">
        <f>_xlfn.XLOOKUP(A25,'Cleaned Data'!$A$2:$A$721,'Cleaned Data'!$B$2:$B$721)</f>
        <v>Comfort Okonkwo</v>
      </c>
      <c r="C25" s="4">
        <f>AVERAGEIFS('Cleaned Data'!$M$2:$M$721,'Cleaned Data'!$A$2:$A$721,A25,'Cleaned Data'!$E$2:$E$721,"First Term")</f>
        <v>55</v>
      </c>
      <c r="D25" s="4">
        <f>AVERAGEIFS('Cleaned Data'!$M$2:$M$721,'Cleaned Data'!$A$2:$A$721,A25,'Cleaned Data'!$E$2:$E$721,"Third Term")</f>
        <v>84.5</v>
      </c>
      <c r="E25" s="4">
        <f t="shared" si="0"/>
        <v>29.5</v>
      </c>
      <c r="F25" t="str">
        <f t="shared" si="1"/>
        <v>Improved</v>
      </c>
      <c r="H25" s="30">
        <f>COUNTIF(F13:F252,"Improved")</f>
        <v>164</v>
      </c>
      <c r="I25" s="31" t="s">
        <v>705</v>
      </c>
    </row>
    <row r="26" spans="1:9" x14ac:dyDescent="0.35">
      <c r="A26" s="8" t="s">
        <v>87</v>
      </c>
      <c r="B26" t="str">
        <f>_xlfn.XLOOKUP(A26,'Cleaned Data'!$A$2:$A$721,'Cleaned Data'!$B$2:$B$721)</f>
        <v>Adaeze Suleiman</v>
      </c>
      <c r="C26" s="4">
        <f>AVERAGEIFS('Cleaned Data'!$M$2:$M$721,'Cleaned Data'!$A$2:$A$721,A26,'Cleaned Data'!$E$2:$E$721,"First Term")</f>
        <v>60</v>
      </c>
      <c r="D26" s="4">
        <f>AVERAGEIFS('Cleaned Data'!$M$2:$M$721,'Cleaned Data'!$A$2:$A$721,A26,'Cleaned Data'!$E$2:$E$721,"Third Term")</f>
        <v>65.166666666666671</v>
      </c>
      <c r="E26" s="4">
        <f t="shared" si="0"/>
        <v>5.1666666666666714</v>
      </c>
      <c r="F26" t="str">
        <f t="shared" si="1"/>
        <v>Improved</v>
      </c>
      <c r="H26" s="30"/>
      <c r="I26" s="30"/>
    </row>
    <row r="27" spans="1:9" x14ac:dyDescent="0.35">
      <c r="A27" s="9" t="s">
        <v>90</v>
      </c>
      <c r="B27" t="str">
        <f>_xlfn.XLOOKUP(A27,'Cleaned Data'!$A$2:$A$721,'Cleaned Data'!$B$2:$B$721)</f>
        <v>Grace Akinola</v>
      </c>
      <c r="C27" s="4">
        <f>AVERAGEIFS('Cleaned Data'!$M$2:$M$721,'Cleaned Data'!$A$2:$A$721,A27,'Cleaned Data'!$E$2:$E$721,"First Term")</f>
        <v>61.166666666666664</v>
      </c>
      <c r="D27" s="4">
        <f>AVERAGEIFS('Cleaned Data'!$M$2:$M$721,'Cleaned Data'!$A$2:$A$721,A27,'Cleaned Data'!$E$2:$E$721,"Third Term")</f>
        <v>65.166666666666671</v>
      </c>
      <c r="E27" s="4">
        <f t="shared" si="0"/>
        <v>4.0000000000000071</v>
      </c>
      <c r="F27" t="str">
        <f t="shared" si="1"/>
        <v>Improved</v>
      </c>
      <c r="H27" s="30">
        <f>COUNTIF(F13:F252,"Dropped")</f>
        <v>63</v>
      </c>
      <c r="I27" s="31" t="s">
        <v>706</v>
      </c>
    </row>
    <row r="28" spans="1:9" x14ac:dyDescent="0.35">
      <c r="A28" s="8" t="s">
        <v>92</v>
      </c>
      <c r="B28" t="str">
        <f>_xlfn.XLOOKUP(A28,'Cleaned Data'!$A$2:$A$721,'Cleaned Data'!$B$2:$B$721)</f>
        <v>Patience Umar</v>
      </c>
      <c r="C28" s="4">
        <f>AVERAGEIFS('Cleaned Data'!$M$2:$M$721,'Cleaned Data'!$A$2:$A$721,A28,'Cleaned Data'!$E$2:$E$721,"First Term")</f>
        <v>45.833333333333336</v>
      </c>
      <c r="D28" s="4">
        <f>AVERAGEIFS('Cleaned Data'!$M$2:$M$721,'Cleaned Data'!$A$2:$A$721,A28,'Cleaned Data'!$E$2:$E$721,"Third Term")</f>
        <v>43.166666666666664</v>
      </c>
      <c r="E28" s="4">
        <f t="shared" si="0"/>
        <v>-2.6666666666666714</v>
      </c>
      <c r="F28" t="str">
        <f t="shared" si="1"/>
        <v>Dropped</v>
      </c>
      <c r="H28" s="30"/>
      <c r="I28" s="30"/>
    </row>
    <row r="29" spans="1:9" x14ac:dyDescent="0.35">
      <c r="A29" s="9" t="s">
        <v>94</v>
      </c>
      <c r="B29" t="str">
        <f>_xlfn.XLOOKUP(A29,'Cleaned Data'!$A$2:$A$721,'Cleaned Data'!$B$2:$B$721)</f>
        <v>Chioma Agu</v>
      </c>
      <c r="C29" s="4">
        <f>AVERAGEIFS('Cleaned Data'!$M$2:$M$721,'Cleaned Data'!$A$2:$A$721,A29,'Cleaned Data'!$E$2:$E$721,"First Term")</f>
        <v>53.666666666666664</v>
      </c>
      <c r="D29" s="4">
        <f>AVERAGEIFS('Cleaned Data'!$M$2:$M$721,'Cleaned Data'!$A$2:$A$721,A29,'Cleaned Data'!$E$2:$E$721,"Third Term")</f>
        <v>63.333333333333336</v>
      </c>
      <c r="E29" s="4">
        <f t="shared" si="0"/>
        <v>9.6666666666666714</v>
      </c>
      <c r="F29" t="str">
        <f t="shared" si="1"/>
        <v>Improved</v>
      </c>
      <c r="H29" s="30">
        <f>COUNTIF(F13:F252,"Unchanged")</f>
        <v>2</v>
      </c>
      <c r="I29" s="31" t="s">
        <v>707</v>
      </c>
    </row>
    <row r="30" spans="1:9" x14ac:dyDescent="0.35">
      <c r="A30" s="8" t="s">
        <v>97</v>
      </c>
      <c r="B30" t="str">
        <f>_xlfn.XLOOKUP(A30,'Cleaned Data'!$A$2:$A$721,'Cleaned Data'!$B$2:$B$721)</f>
        <v>Ngozi Adewale</v>
      </c>
      <c r="C30" s="4">
        <f>AVERAGEIFS('Cleaned Data'!$M$2:$M$721,'Cleaned Data'!$A$2:$A$721,A30,'Cleaned Data'!$E$2:$E$721,"First Term")</f>
        <v>67.666666666666671</v>
      </c>
      <c r="D30" s="4">
        <f>AVERAGEIFS('Cleaned Data'!$M$2:$M$721,'Cleaned Data'!$A$2:$A$721,A30,'Cleaned Data'!$E$2:$E$721,"Third Term")</f>
        <v>73</v>
      </c>
      <c r="E30" s="4">
        <f t="shared" si="0"/>
        <v>5.3333333333333286</v>
      </c>
      <c r="F30" t="str">
        <f t="shared" si="1"/>
        <v>Improved</v>
      </c>
    </row>
    <row r="31" spans="1:9" x14ac:dyDescent="0.35">
      <c r="A31" s="9" t="s">
        <v>100</v>
      </c>
      <c r="B31" t="str">
        <f>_xlfn.XLOOKUP(A31,'Cleaned Data'!$A$2:$A$721,'Cleaned Data'!$B$2:$B$721)</f>
        <v>Ebere Ogundipe</v>
      </c>
      <c r="C31" s="4">
        <f>AVERAGEIFS('Cleaned Data'!$M$2:$M$721,'Cleaned Data'!$A$2:$A$721,A31,'Cleaned Data'!$E$2:$E$721,"First Term")</f>
        <v>58.333333333333336</v>
      </c>
      <c r="D31" s="4">
        <f>AVERAGEIFS('Cleaned Data'!$M$2:$M$721,'Cleaned Data'!$A$2:$A$721,A31,'Cleaned Data'!$E$2:$E$721,"Third Term")</f>
        <v>68.333333333333329</v>
      </c>
      <c r="E31" s="4">
        <f t="shared" si="0"/>
        <v>9.9999999999999929</v>
      </c>
      <c r="F31" t="str">
        <f t="shared" si="1"/>
        <v>Improved</v>
      </c>
    </row>
    <row r="32" spans="1:9" x14ac:dyDescent="0.35">
      <c r="A32" s="8" t="s">
        <v>102</v>
      </c>
      <c r="B32" t="str">
        <f>_xlfn.XLOOKUP(A32,'Cleaned Data'!$A$2:$A$721,'Cleaned Data'!$B$2:$B$721)</f>
        <v>Stephen Mohammed</v>
      </c>
      <c r="C32" s="4">
        <f>AVERAGEIFS('Cleaned Data'!$M$2:$M$721,'Cleaned Data'!$A$2:$A$721,A32,'Cleaned Data'!$E$2:$E$721,"First Term")</f>
        <v>49.333333333333336</v>
      </c>
      <c r="D32" s="4">
        <f>AVERAGEIFS('Cleaned Data'!$M$2:$M$721,'Cleaned Data'!$A$2:$A$721,A32,'Cleaned Data'!$E$2:$E$721,"Third Term")</f>
        <v>66.333333333333329</v>
      </c>
      <c r="E32" s="4">
        <f t="shared" si="0"/>
        <v>16.999999999999993</v>
      </c>
      <c r="F32" t="str">
        <f t="shared" si="1"/>
        <v>Improved</v>
      </c>
    </row>
    <row r="33" spans="1:6" x14ac:dyDescent="0.35">
      <c r="A33" s="9" t="s">
        <v>104</v>
      </c>
      <c r="B33" t="str">
        <f>_xlfn.XLOOKUP(A33,'Cleaned Data'!$A$2:$A$721,'Cleaned Data'!$B$2:$B$721)</f>
        <v>Dare Abubakar</v>
      </c>
      <c r="C33" s="4">
        <f>AVERAGEIFS('Cleaned Data'!$M$2:$M$721,'Cleaned Data'!$A$2:$A$721,A33,'Cleaned Data'!$E$2:$E$721,"First Term")</f>
        <v>62.833333333333336</v>
      </c>
      <c r="D33" s="4">
        <f>AVERAGEIFS('Cleaned Data'!$M$2:$M$721,'Cleaned Data'!$A$2:$A$721,A33,'Cleaned Data'!$E$2:$E$721,"Third Term")</f>
        <v>64.333333333333329</v>
      </c>
      <c r="E33" s="4">
        <f t="shared" si="0"/>
        <v>1.4999999999999929</v>
      </c>
      <c r="F33" t="str">
        <f t="shared" si="1"/>
        <v>Improved</v>
      </c>
    </row>
    <row r="34" spans="1:6" x14ac:dyDescent="0.35">
      <c r="A34" s="8" t="s">
        <v>107</v>
      </c>
      <c r="B34" t="str">
        <f>_xlfn.XLOOKUP(A34,'Cleaned Data'!$A$2:$A$721,'Cleaned Data'!$B$2:$B$721)</f>
        <v>Musa Oladipo</v>
      </c>
      <c r="C34" s="4">
        <f>AVERAGEIFS('Cleaned Data'!$M$2:$M$721,'Cleaned Data'!$A$2:$A$721,A34,'Cleaned Data'!$E$2:$E$721,"First Term")</f>
        <v>66.666666666666671</v>
      </c>
      <c r="D34" s="4">
        <f>AVERAGEIFS('Cleaned Data'!$M$2:$M$721,'Cleaned Data'!$A$2:$A$721,A34,'Cleaned Data'!$E$2:$E$721,"Third Term")</f>
        <v>68.666666666666671</v>
      </c>
      <c r="E34" s="4">
        <f t="shared" si="0"/>
        <v>2</v>
      </c>
      <c r="F34" t="str">
        <f t="shared" si="1"/>
        <v>Improved</v>
      </c>
    </row>
    <row r="35" spans="1:6" x14ac:dyDescent="0.35">
      <c r="A35" s="9" t="s">
        <v>110</v>
      </c>
      <c r="B35" t="str">
        <f>_xlfn.XLOOKUP(A35,'Cleaned Data'!$A$2:$A$721,'Cleaned Data'!$B$2:$B$721)</f>
        <v>Segun Adeyemi</v>
      </c>
      <c r="C35" s="4">
        <f>AVERAGEIFS('Cleaned Data'!$M$2:$M$721,'Cleaned Data'!$A$2:$A$721,A35,'Cleaned Data'!$E$2:$E$721,"First Term")</f>
        <v>73.666666666666671</v>
      </c>
      <c r="D35" s="4">
        <f>AVERAGEIFS('Cleaned Data'!$M$2:$M$721,'Cleaned Data'!$A$2:$A$721,A35,'Cleaned Data'!$E$2:$E$721,"Third Term")</f>
        <v>85.833333333333329</v>
      </c>
      <c r="E35" s="4">
        <f t="shared" si="0"/>
        <v>12.166666666666657</v>
      </c>
      <c r="F35" t="str">
        <f t="shared" si="1"/>
        <v>Improved</v>
      </c>
    </row>
    <row r="36" spans="1:6" x14ac:dyDescent="0.35">
      <c r="A36" s="8" t="s">
        <v>115</v>
      </c>
      <c r="B36" t="str">
        <f>_xlfn.XLOOKUP(A36,'Cleaned Data'!$A$2:$A$721,'Cleaned Data'!$B$2:$B$721)</f>
        <v>Sani Nwankwo</v>
      </c>
      <c r="C36" s="4">
        <f>AVERAGEIFS('Cleaned Data'!$M$2:$M$721,'Cleaned Data'!$A$2:$A$721,A36,'Cleaned Data'!$E$2:$E$721,"First Term")</f>
        <v>84.666666666666671</v>
      </c>
      <c r="D36" s="4">
        <f>AVERAGEIFS('Cleaned Data'!$M$2:$M$721,'Cleaned Data'!$A$2:$A$721,A36,'Cleaned Data'!$E$2:$E$721,"Third Term")</f>
        <v>76.333333333333329</v>
      </c>
      <c r="E36" s="4">
        <f t="shared" si="0"/>
        <v>-8.3333333333333428</v>
      </c>
      <c r="F36" t="str">
        <f t="shared" si="1"/>
        <v>Dropped</v>
      </c>
    </row>
    <row r="37" spans="1:6" x14ac:dyDescent="0.35">
      <c r="A37" s="9" t="s">
        <v>117</v>
      </c>
      <c r="B37" t="str">
        <f>_xlfn.XLOOKUP(A37,'Cleaned Data'!$A$2:$A$721,'Cleaned Data'!$B$2:$B$721)</f>
        <v>Kemi Danjuma</v>
      </c>
      <c r="C37" s="4">
        <f>AVERAGEIFS('Cleaned Data'!$M$2:$M$721,'Cleaned Data'!$A$2:$A$721,A37,'Cleaned Data'!$E$2:$E$721,"First Term")</f>
        <v>41.833333333333336</v>
      </c>
      <c r="D37" s="4">
        <f>AVERAGEIFS('Cleaned Data'!$M$2:$M$721,'Cleaned Data'!$A$2:$A$721,A37,'Cleaned Data'!$E$2:$E$721,"Third Term")</f>
        <v>38.5</v>
      </c>
      <c r="E37" s="4">
        <f t="shared" si="0"/>
        <v>-3.3333333333333357</v>
      </c>
      <c r="F37" t="str">
        <f t="shared" si="1"/>
        <v>Dropped</v>
      </c>
    </row>
    <row r="38" spans="1:6" x14ac:dyDescent="0.35">
      <c r="A38" s="8" t="s">
        <v>119</v>
      </c>
      <c r="B38" t="str">
        <f>_xlfn.XLOOKUP(A38,'Cleaned Data'!$A$2:$A$721,'Cleaned Data'!$B$2:$B$721)</f>
        <v>Grace Oladipo</v>
      </c>
      <c r="C38" s="4">
        <f>AVERAGEIFS('Cleaned Data'!$M$2:$M$721,'Cleaned Data'!$A$2:$A$721,A38,'Cleaned Data'!$E$2:$E$721,"First Term")</f>
        <v>60.5</v>
      </c>
      <c r="D38" s="4">
        <f>AVERAGEIFS('Cleaned Data'!$M$2:$M$721,'Cleaned Data'!$A$2:$A$721,A38,'Cleaned Data'!$E$2:$E$721,"Third Term")</f>
        <v>68.166666666666671</v>
      </c>
      <c r="E38" s="4">
        <f t="shared" si="0"/>
        <v>7.6666666666666714</v>
      </c>
      <c r="F38" t="str">
        <f t="shared" si="1"/>
        <v>Improved</v>
      </c>
    </row>
    <row r="39" spans="1:6" x14ac:dyDescent="0.35">
      <c r="A39" s="9" t="s">
        <v>122</v>
      </c>
      <c r="B39" t="str">
        <f>_xlfn.XLOOKUP(A39,'Cleaned Data'!$A$2:$A$721,'Cleaned Data'!$B$2:$B$721)</f>
        <v>Damilola Aliyu</v>
      </c>
      <c r="C39" s="4">
        <f>AVERAGEIFS('Cleaned Data'!$M$2:$M$721,'Cleaned Data'!$A$2:$A$721,A39,'Cleaned Data'!$E$2:$E$721,"First Term")</f>
        <v>57.833333333333336</v>
      </c>
      <c r="D39" s="4">
        <f>AVERAGEIFS('Cleaned Data'!$M$2:$M$721,'Cleaned Data'!$A$2:$A$721,A39,'Cleaned Data'!$E$2:$E$721,"Third Term")</f>
        <v>50.5</v>
      </c>
      <c r="E39" s="4">
        <f t="shared" si="0"/>
        <v>-7.3333333333333357</v>
      </c>
      <c r="F39" t="str">
        <f t="shared" si="1"/>
        <v>Dropped</v>
      </c>
    </row>
    <row r="40" spans="1:6" x14ac:dyDescent="0.35">
      <c r="A40" s="8" t="s">
        <v>124</v>
      </c>
      <c r="B40" t="str">
        <f>_xlfn.XLOOKUP(A40,'Cleaned Data'!$A$2:$A$721,'Cleaned Data'!$B$2:$B$721)</f>
        <v>Babatunde Garba</v>
      </c>
      <c r="C40" s="4">
        <f>AVERAGEIFS('Cleaned Data'!$M$2:$M$721,'Cleaned Data'!$A$2:$A$721,A40,'Cleaned Data'!$E$2:$E$721,"First Term")</f>
        <v>50.833333333333336</v>
      </c>
      <c r="D40" s="4">
        <f>AVERAGEIFS('Cleaned Data'!$M$2:$M$721,'Cleaned Data'!$A$2:$A$721,A40,'Cleaned Data'!$E$2:$E$721,"Third Term")</f>
        <v>58.5</v>
      </c>
      <c r="E40" s="4">
        <f t="shared" si="0"/>
        <v>7.6666666666666643</v>
      </c>
      <c r="F40" t="str">
        <f t="shared" si="1"/>
        <v>Improved</v>
      </c>
    </row>
    <row r="41" spans="1:6" x14ac:dyDescent="0.35">
      <c r="A41" s="9" t="s">
        <v>127</v>
      </c>
      <c r="B41" t="str">
        <f>_xlfn.XLOOKUP(A41,'Cleaned Data'!$A$2:$A$721,'Cleaned Data'!$B$2:$B$721)</f>
        <v>Omolara Kalu</v>
      </c>
      <c r="C41" s="4">
        <f>AVERAGEIFS('Cleaned Data'!$M$2:$M$721,'Cleaned Data'!$A$2:$A$721,A41,'Cleaned Data'!$E$2:$E$721,"First Term")</f>
        <v>62.333333333333336</v>
      </c>
      <c r="D41" s="4">
        <f>AVERAGEIFS('Cleaned Data'!$M$2:$M$721,'Cleaned Data'!$A$2:$A$721,A41,'Cleaned Data'!$E$2:$E$721,"Third Term")</f>
        <v>68.666666666666671</v>
      </c>
      <c r="E41" s="4">
        <f t="shared" si="0"/>
        <v>6.3333333333333357</v>
      </c>
      <c r="F41" t="str">
        <f t="shared" si="1"/>
        <v>Improved</v>
      </c>
    </row>
    <row r="42" spans="1:6" x14ac:dyDescent="0.35">
      <c r="A42" s="8" t="s">
        <v>129</v>
      </c>
      <c r="B42" t="str">
        <f>_xlfn.XLOOKUP(A42,'Cleaned Data'!$A$2:$A$721,'Cleaned Data'!$B$2:$B$721)</f>
        <v>Seun Okafor</v>
      </c>
      <c r="C42" s="4">
        <f>AVERAGEIFS('Cleaned Data'!$M$2:$M$721,'Cleaned Data'!$A$2:$A$721,A42,'Cleaned Data'!$E$2:$E$721,"First Term")</f>
        <v>56.666666666666664</v>
      </c>
      <c r="D42" s="4">
        <f>AVERAGEIFS('Cleaned Data'!$M$2:$M$721,'Cleaned Data'!$A$2:$A$721,A42,'Cleaned Data'!$E$2:$E$721,"Third Term")</f>
        <v>54.666666666666664</v>
      </c>
      <c r="E42" s="4">
        <f t="shared" si="0"/>
        <v>-2</v>
      </c>
      <c r="F42" t="str">
        <f t="shared" si="1"/>
        <v>Dropped</v>
      </c>
    </row>
    <row r="43" spans="1:6" x14ac:dyDescent="0.35">
      <c r="A43" s="9" t="s">
        <v>133</v>
      </c>
      <c r="B43" t="str">
        <f>_xlfn.XLOOKUP(A43,'Cleaned Data'!$A$2:$A$721,'Cleaned Data'!$B$2:$B$721)</f>
        <v>Aminu Adeyemi</v>
      </c>
      <c r="C43" s="4">
        <f>AVERAGEIFS('Cleaned Data'!$M$2:$M$721,'Cleaned Data'!$A$2:$A$721,A43,'Cleaned Data'!$E$2:$E$721,"First Term")</f>
        <v>62.166666666666664</v>
      </c>
      <c r="D43" s="4">
        <f>AVERAGEIFS('Cleaned Data'!$M$2:$M$721,'Cleaned Data'!$A$2:$A$721,A43,'Cleaned Data'!$E$2:$E$721,"Third Term")</f>
        <v>72.666666666666671</v>
      </c>
      <c r="E43" s="4">
        <f t="shared" si="0"/>
        <v>10.500000000000007</v>
      </c>
      <c r="F43" t="str">
        <f t="shared" si="1"/>
        <v>Improved</v>
      </c>
    </row>
    <row r="44" spans="1:6" x14ac:dyDescent="0.35">
      <c r="A44" s="8" t="s">
        <v>136</v>
      </c>
      <c r="B44" t="str">
        <f>_xlfn.XLOOKUP(A44,'Cleaned Data'!$A$2:$A$721,'Cleaned Data'!$B$2:$B$721)</f>
        <v>Omolara Obi</v>
      </c>
      <c r="C44" s="4">
        <f>AVERAGEIFS('Cleaned Data'!$M$2:$M$721,'Cleaned Data'!$A$2:$A$721,A44,'Cleaned Data'!$E$2:$E$721,"First Term")</f>
        <v>56.666666666666664</v>
      </c>
      <c r="D44" s="4">
        <f>AVERAGEIFS('Cleaned Data'!$M$2:$M$721,'Cleaned Data'!$A$2:$A$721,A44,'Cleaned Data'!$E$2:$E$721,"Third Term")</f>
        <v>64.5</v>
      </c>
      <c r="E44" s="4">
        <f t="shared" si="0"/>
        <v>7.8333333333333357</v>
      </c>
      <c r="F44" t="str">
        <f t="shared" si="1"/>
        <v>Improved</v>
      </c>
    </row>
    <row r="45" spans="1:6" x14ac:dyDescent="0.35">
      <c r="A45" s="9" t="s">
        <v>139</v>
      </c>
      <c r="B45" t="str">
        <f>_xlfn.XLOOKUP(A45,'Cleaned Data'!$A$2:$A$721,'Cleaned Data'!$B$2:$B$721)</f>
        <v>Omolara Adebayo</v>
      </c>
      <c r="C45" s="4">
        <f>AVERAGEIFS('Cleaned Data'!$M$2:$M$721,'Cleaned Data'!$A$2:$A$721,A45,'Cleaned Data'!$E$2:$E$721,"First Term")</f>
        <v>51.333333333333336</v>
      </c>
      <c r="D45" s="4">
        <f>AVERAGEIFS('Cleaned Data'!$M$2:$M$721,'Cleaned Data'!$A$2:$A$721,A45,'Cleaned Data'!$E$2:$E$721,"Third Term")</f>
        <v>55.666666666666664</v>
      </c>
      <c r="E45" s="4">
        <f t="shared" si="0"/>
        <v>4.3333333333333286</v>
      </c>
      <c r="F45" t="str">
        <f t="shared" si="1"/>
        <v>Improved</v>
      </c>
    </row>
    <row r="46" spans="1:6" x14ac:dyDescent="0.35">
      <c r="A46" s="8" t="s">
        <v>142</v>
      </c>
      <c r="B46" t="str">
        <f>_xlfn.XLOOKUP(A46,'Cleaned Data'!$A$2:$A$721,'Cleaned Data'!$B$2:$B$721)</f>
        <v>Ebere Ogunleye</v>
      </c>
      <c r="C46" s="4">
        <f>AVERAGEIFS('Cleaned Data'!$M$2:$M$721,'Cleaned Data'!$A$2:$A$721,A46,'Cleaned Data'!$E$2:$E$721,"First Term")</f>
        <v>59.666666666666664</v>
      </c>
      <c r="D46" s="4">
        <f>AVERAGEIFS('Cleaned Data'!$M$2:$M$721,'Cleaned Data'!$A$2:$A$721,A46,'Cleaned Data'!$E$2:$E$721,"Third Term")</f>
        <v>71.333333333333329</v>
      </c>
      <c r="E46" s="4">
        <f t="shared" si="0"/>
        <v>11.666666666666664</v>
      </c>
      <c r="F46" t="str">
        <f t="shared" si="1"/>
        <v>Improved</v>
      </c>
    </row>
    <row r="47" spans="1:6" x14ac:dyDescent="0.35">
      <c r="A47" s="9" t="s">
        <v>146</v>
      </c>
      <c r="B47" t="str">
        <f>_xlfn.XLOOKUP(A47,'Cleaned Data'!$A$2:$A$721,'Cleaned Data'!$B$2:$B$721)</f>
        <v>Damilola Yakubu</v>
      </c>
      <c r="C47" s="4">
        <f>AVERAGEIFS('Cleaned Data'!$M$2:$M$721,'Cleaned Data'!$A$2:$A$721,A47,'Cleaned Data'!$E$2:$E$721,"First Term")</f>
        <v>72.166666666666671</v>
      </c>
      <c r="D47" s="4">
        <f>AVERAGEIFS('Cleaned Data'!$M$2:$M$721,'Cleaned Data'!$A$2:$A$721,A47,'Cleaned Data'!$E$2:$E$721,"Third Term")</f>
        <v>77.599999999999994</v>
      </c>
      <c r="E47" s="4">
        <f t="shared" si="0"/>
        <v>5.4333333333333229</v>
      </c>
      <c r="F47" t="str">
        <f t="shared" si="1"/>
        <v>Improved</v>
      </c>
    </row>
    <row r="48" spans="1:6" x14ac:dyDescent="0.35">
      <c r="A48" s="8" t="s">
        <v>150</v>
      </c>
      <c r="B48" t="str">
        <f>_xlfn.XLOOKUP(A48,'Cleaned Data'!$A$2:$A$721,'Cleaned Data'!$B$2:$B$721)</f>
        <v>Tunde Abubakar</v>
      </c>
      <c r="C48" s="4">
        <f>AVERAGEIFS('Cleaned Data'!$M$2:$M$721,'Cleaned Data'!$A$2:$A$721,A48,'Cleaned Data'!$E$2:$E$721,"First Term")</f>
        <v>53.333333333333336</v>
      </c>
      <c r="D48" s="4">
        <f>AVERAGEIFS('Cleaned Data'!$M$2:$M$721,'Cleaned Data'!$A$2:$A$721,A48,'Cleaned Data'!$E$2:$E$721,"Third Term")</f>
        <v>55.333333333333336</v>
      </c>
      <c r="E48" s="4">
        <f t="shared" si="0"/>
        <v>2</v>
      </c>
      <c r="F48" t="str">
        <f t="shared" si="1"/>
        <v>Improved</v>
      </c>
    </row>
    <row r="49" spans="1:6" x14ac:dyDescent="0.35">
      <c r="A49" s="9" t="s">
        <v>153</v>
      </c>
      <c r="B49" t="str">
        <f>_xlfn.XLOOKUP(A49,'Cleaned Data'!$A$2:$A$721,'Cleaned Data'!$B$2:$B$721)</f>
        <v>Musa Salami</v>
      </c>
      <c r="C49" s="4">
        <f>AVERAGEIFS('Cleaned Data'!$M$2:$M$721,'Cleaned Data'!$A$2:$A$721,A49,'Cleaned Data'!$E$2:$E$721,"First Term")</f>
        <v>64.333333333333329</v>
      </c>
      <c r="D49" s="4">
        <f>AVERAGEIFS('Cleaned Data'!$M$2:$M$721,'Cleaned Data'!$A$2:$A$721,A49,'Cleaned Data'!$E$2:$E$721,"Third Term")</f>
        <v>70.5</v>
      </c>
      <c r="E49" s="4">
        <f t="shared" si="0"/>
        <v>6.1666666666666714</v>
      </c>
      <c r="F49" t="str">
        <f t="shared" si="1"/>
        <v>Improved</v>
      </c>
    </row>
    <row r="50" spans="1:6" x14ac:dyDescent="0.35">
      <c r="A50" s="8" t="s">
        <v>157</v>
      </c>
      <c r="B50" t="str">
        <f>_xlfn.XLOOKUP(A50,'Cleaned Data'!$A$2:$A$721,'Cleaned Data'!$B$2:$B$721)</f>
        <v>Samuel Abubakar</v>
      </c>
      <c r="C50" s="4">
        <f>AVERAGEIFS('Cleaned Data'!$M$2:$M$721,'Cleaned Data'!$A$2:$A$721,A50,'Cleaned Data'!$E$2:$E$721,"First Term")</f>
        <v>51.333333333333336</v>
      </c>
      <c r="D50" s="4">
        <f>AVERAGEIFS('Cleaned Data'!$M$2:$M$721,'Cleaned Data'!$A$2:$A$721,A50,'Cleaned Data'!$E$2:$E$721,"Third Term")</f>
        <v>57.666666666666664</v>
      </c>
      <c r="E50" s="4">
        <f t="shared" si="0"/>
        <v>6.3333333333333286</v>
      </c>
      <c r="F50" t="str">
        <f t="shared" si="1"/>
        <v>Improved</v>
      </c>
    </row>
    <row r="51" spans="1:6" x14ac:dyDescent="0.35">
      <c r="A51" s="9" t="s">
        <v>160</v>
      </c>
      <c r="B51" t="str">
        <f>_xlfn.XLOOKUP(A51,'Cleaned Data'!$A$2:$A$721,'Cleaned Data'!$B$2:$B$721)</f>
        <v>Omolara Anyanwu</v>
      </c>
      <c r="C51" s="4">
        <f>AVERAGEIFS('Cleaned Data'!$M$2:$M$721,'Cleaned Data'!$A$2:$A$721,A51,'Cleaned Data'!$E$2:$E$721,"First Term")</f>
        <v>52.333333333333336</v>
      </c>
      <c r="D51" s="4">
        <f>AVERAGEIFS('Cleaned Data'!$M$2:$M$721,'Cleaned Data'!$A$2:$A$721,A51,'Cleaned Data'!$E$2:$E$721,"Third Term")</f>
        <v>60.5</v>
      </c>
      <c r="E51" s="4">
        <f t="shared" si="0"/>
        <v>8.1666666666666643</v>
      </c>
      <c r="F51" t="str">
        <f t="shared" si="1"/>
        <v>Improved</v>
      </c>
    </row>
    <row r="52" spans="1:6" x14ac:dyDescent="0.35">
      <c r="A52" s="8" t="s">
        <v>162</v>
      </c>
      <c r="B52" t="str">
        <f>_xlfn.XLOOKUP(A52,'Cleaned Data'!$A$2:$A$721,'Cleaned Data'!$B$2:$B$721)</f>
        <v>Uchenna Garba</v>
      </c>
      <c r="C52" s="4">
        <f>AVERAGEIFS('Cleaned Data'!$M$2:$M$721,'Cleaned Data'!$A$2:$A$721,A52,'Cleaned Data'!$E$2:$E$721,"First Term")</f>
        <v>48.333333333333336</v>
      </c>
      <c r="D52" s="4">
        <f>AVERAGEIFS('Cleaned Data'!$M$2:$M$721,'Cleaned Data'!$A$2:$A$721,A52,'Cleaned Data'!$E$2:$E$721,"Third Term")</f>
        <v>65.5</v>
      </c>
      <c r="E52" s="4">
        <f t="shared" si="0"/>
        <v>17.166666666666664</v>
      </c>
      <c r="F52" t="str">
        <f t="shared" si="1"/>
        <v>Improved</v>
      </c>
    </row>
    <row r="53" spans="1:6" x14ac:dyDescent="0.35">
      <c r="A53" s="9" t="s">
        <v>165</v>
      </c>
      <c r="B53" t="str">
        <f>_xlfn.XLOOKUP(A53,'Cleaned Data'!$A$2:$A$721,'Cleaned Data'!$B$2:$B$721)</f>
        <v>Folake Amadi</v>
      </c>
      <c r="C53" s="4">
        <f>AVERAGEIFS('Cleaned Data'!$M$2:$M$721,'Cleaned Data'!$A$2:$A$721,A53,'Cleaned Data'!$E$2:$E$721,"First Term")</f>
        <v>64.666666666666671</v>
      </c>
      <c r="D53" s="4">
        <f>AVERAGEIFS('Cleaned Data'!$M$2:$M$721,'Cleaned Data'!$A$2:$A$721,A53,'Cleaned Data'!$E$2:$E$721,"Third Term")</f>
        <v>67.833333333333329</v>
      </c>
      <c r="E53" s="4">
        <f t="shared" si="0"/>
        <v>3.1666666666666572</v>
      </c>
      <c r="F53" t="str">
        <f t="shared" si="1"/>
        <v>Improved</v>
      </c>
    </row>
    <row r="54" spans="1:6" x14ac:dyDescent="0.35">
      <c r="A54" s="8" t="s">
        <v>168</v>
      </c>
      <c r="B54" t="str">
        <f>_xlfn.XLOOKUP(A54,'Cleaned Data'!$A$2:$A$721,'Cleaned Data'!$B$2:$B$721)</f>
        <v>Garba Adebayo</v>
      </c>
      <c r="C54" s="4">
        <f>AVERAGEIFS('Cleaned Data'!$M$2:$M$721,'Cleaned Data'!$A$2:$A$721,A54,'Cleaned Data'!$E$2:$E$721,"First Term")</f>
        <v>53.166666666666664</v>
      </c>
      <c r="D54" s="4">
        <f>AVERAGEIFS('Cleaned Data'!$M$2:$M$721,'Cleaned Data'!$A$2:$A$721,A54,'Cleaned Data'!$E$2:$E$721,"Third Term")</f>
        <v>49.166666666666664</v>
      </c>
      <c r="E54" s="4">
        <f t="shared" si="0"/>
        <v>-4</v>
      </c>
      <c r="F54" t="str">
        <f t="shared" si="1"/>
        <v>Dropped</v>
      </c>
    </row>
    <row r="55" spans="1:6" x14ac:dyDescent="0.35">
      <c r="A55" s="9" t="s">
        <v>170</v>
      </c>
      <c r="B55" t="str">
        <f>_xlfn.XLOOKUP(A55,'Cleaned Data'!$A$2:$A$721,'Cleaned Data'!$B$2:$B$721)</f>
        <v>Chioma Adewale</v>
      </c>
      <c r="C55" s="4">
        <f>AVERAGEIFS('Cleaned Data'!$M$2:$M$721,'Cleaned Data'!$A$2:$A$721,A55,'Cleaned Data'!$E$2:$E$721,"First Term")</f>
        <v>67.166666666666671</v>
      </c>
      <c r="D55" s="4">
        <f>AVERAGEIFS('Cleaned Data'!$M$2:$M$721,'Cleaned Data'!$A$2:$A$721,A55,'Cleaned Data'!$E$2:$E$721,"Third Term")</f>
        <v>65.666666666666671</v>
      </c>
      <c r="E55" s="4">
        <f t="shared" si="0"/>
        <v>-1.5</v>
      </c>
      <c r="F55" t="str">
        <f t="shared" si="1"/>
        <v>Dropped</v>
      </c>
    </row>
    <row r="56" spans="1:6" x14ac:dyDescent="0.35">
      <c r="A56" s="8" t="s">
        <v>172</v>
      </c>
      <c r="B56" t="str">
        <f>_xlfn.XLOOKUP(A56,'Cleaned Data'!$A$2:$A$721,'Cleaned Data'!$B$2:$B$721)</f>
        <v>Mercy Musa</v>
      </c>
      <c r="C56" s="4">
        <f>AVERAGEIFS('Cleaned Data'!$M$2:$M$721,'Cleaned Data'!$A$2:$A$721,A56,'Cleaned Data'!$E$2:$E$721,"First Term")</f>
        <v>56</v>
      </c>
      <c r="D56" s="4">
        <f>AVERAGEIFS('Cleaned Data'!$M$2:$M$721,'Cleaned Data'!$A$2:$A$721,A56,'Cleaned Data'!$E$2:$E$721,"Third Term")</f>
        <v>61.666666666666664</v>
      </c>
      <c r="E56" s="4">
        <f t="shared" si="0"/>
        <v>5.6666666666666643</v>
      </c>
      <c r="F56" t="str">
        <f t="shared" si="1"/>
        <v>Improved</v>
      </c>
    </row>
    <row r="57" spans="1:6" x14ac:dyDescent="0.35">
      <c r="A57" s="9" t="s">
        <v>176</v>
      </c>
      <c r="B57" t="str">
        <f>_xlfn.XLOOKUP(A57,'Cleaned Data'!$A$2:$A$721,'Cleaned Data'!$B$2:$B$721)</f>
        <v>Esther Nnadi</v>
      </c>
      <c r="C57" s="4">
        <f>AVERAGEIFS('Cleaned Data'!$M$2:$M$721,'Cleaned Data'!$A$2:$A$721,A57,'Cleaned Data'!$E$2:$E$721,"First Term")</f>
        <v>43.833333333333336</v>
      </c>
      <c r="D57" s="4">
        <f>AVERAGEIFS('Cleaned Data'!$M$2:$M$721,'Cleaned Data'!$A$2:$A$721,A57,'Cleaned Data'!$E$2:$E$721,"Third Term")</f>
        <v>48</v>
      </c>
      <c r="E57" s="4">
        <f t="shared" si="0"/>
        <v>4.1666666666666643</v>
      </c>
      <c r="F57" t="str">
        <f t="shared" si="1"/>
        <v>Improved</v>
      </c>
    </row>
    <row r="58" spans="1:6" x14ac:dyDescent="0.35">
      <c r="A58" s="8" t="s">
        <v>179</v>
      </c>
      <c r="B58" t="str">
        <f>_xlfn.XLOOKUP(A58,'Cleaned Data'!$A$2:$A$721,'Cleaned Data'!$B$2:$B$721)</f>
        <v>Tobi Okonkwo</v>
      </c>
      <c r="C58" s="4">
        <f>AVERAGEIFS('Cleaned Data'!$M$2:$M$721,'Cleaned Data'!$A$2:$A$721,A58,'Cleaned Data'!$E$2:$E$721,"First Term")</f>
        <v>65.666666666666671</v>
      </c>
      <c r="D58" s="4">
        <f>AVERAGEIFS('Cleaned Data'!$M$2:$M$721,'Cleaned Data'!$A$2:$A$721,A58,'Cleaned Data'!$E$2:$E$721,"Third Term")</f>
        <v>69.166666666666671</v>
      </c>
      <c r="E58" s="4">
        <f t="shared" si="0"/>
        <v>3.5</v>
      </c>
      <c r="F58" t="str">
        <f t="shared" si="1"/>
        <v>Improved</v>
      </c>
    </row>
    <row r="59" spans="1:6" x14ac:dyDescent="0.35">
      <c r="A59" s="9" t="s">
        <v>181</v>
      </c>
      <c r="B59" t="str">
        <f>_xlfn.XLOOKUP(A59,'Cleaned Data'!$A$2:$A$721,'Cleaned Data'!$B$2:$B$721)</f>
        <v>Titilayo Umar</v>
      </c>
      <c r="C59" s="4">
        <f>AVERAGEIFS('Cleaned Data'!$M$2:$M$721,'Cleaned Data'!$A$2:$A$721,A59,'Cleaned Data'!$E$2:$E$721,"First Term")</f>
        <v>61.5</v>
      </c>
      <c r="D59" s="4">
        <f>AVERAGEIFS('Cleaned Data'!$M$2:$M$721,'Cleaned Data'!$A$2:$A$721,A59,'Cleaned Data'!$E$2:$E$721,"Third Term")</f>
        <v>56</v>
      </c>
      <c r="E59" s="4">
        <f t="shared" si="0"/>
        <v>-5.5</v>
      </c>
      <c r="F59" t="str">
        <f t="shared" si="1"/>
        <v>Dropped</v>
      </c>
    </row>
    <row r="60" spans="1:6" x14ac:dyDescent="0.35">
      <c r="A60" s="8" t="s">
        <v>183</v>
      </c>
      <c r="B60" t="str">
        <f>_xlfn.XLOOKUP(A60,'Cleaned Data'!$A$2:$A$721,'Cleaned Data'!$B$2:$B$721)</f>
        <v>Daniel Afolabi</v>
      </c>
      <c r="C60" s="4">
        <f>AVERAGEIFS('Cleaned Data'!$M$2:$M$721,'Cleaned Data'!$A$2:$A$721,A60,'Cleaned Data'!$E$2:$E$721,"First Term")</f>
        <v>57.5</v>
      </c>
      <c r="D60" s="4">
        <f>AVERAGEIFS('Cleaned Data'!$M$2:$M$721,'Cleaned Data'!$A$2:$A$721,A60,'Cleaned Data'!$E$2:$E$721,"Third Term")</f>
        <v>54.333333333333336</v>
      </c>
      <c r="E60" s="4">
        <f t="shared" si="0"/>
        <v>-3.1666666666666643</v>
      </c>
      <c r="F60" t="str">
        <f t="shared" si="1"/>
        <v>Dropped</v>
      </c>
    </row>
    <row r="61" spans="1:6" x14ac:dyDescent="0.35">
      <c r="A61" s="9" t="s">
        <v>185</v>
      </c>
      <c r="B61" t="str">
        <f>_xlfn.XLOOKUP(A61,'Cleaned Data'!$A$2:$A$721,'Cleaned Data'!$B$2:$B$721)</f>
        <v>Emmanuel Onyeka</v>
      </c>
      <c r="C61" s="4">
        <f>AVERAGEIFS('Cleaned Data'!$M$2:$M$721,'Cleaned Data'!$A$2:$A$721,A61,'Cleaned Data'!$E$2:$E$721,"First Term")</f>
        <v>69.5</v>
      </c>
      <c r="D61" s="4">
        <f>AVERAGEIFS('Cleaned Data'!$M$2:$M$721,'Cleaned Data'!$A$2:$A$721,A61,'Cleaned Data'!$E$2:$E$721,"Third Term")</f>
        <v>81</v>
      </c>
      <c r="E61" s="4">
        <f t="shared" si="0"/>
        <v>11.5</v>
      </c>
      <c r="F61" t="str">
        <f t="shared" si="1"/>
        <v>Improved</v>
      </c>
    </row>
    <row r="62" spans="1:6" x14ac:dyDescent="0.35">
      <c r="A62" s="8" t="s">
        <v>188</v>
      </c>
      <c r="B62" t="str">
        <f>_xlfn.XLOOKUP(A62,'Cleaned Data'!$A$2:$A$721,'Cleaned Data'!$B$2:$B$721)</f>
        <v>Emeka Danjuma</v>
      </c>
      <c r="C62" s="4">
        <f>AVERAGEIFS('Cleaned Data'!$M$2:$M$721,'Cleaned Data'!$A$2:$A$721,A62,'Cleaned Data'!$E$2:$E$721,"First Term")</f>
        <v>60.5</v>
      </c>
      <c r="D62" s="4">
        <f>AVERAGEIFS('Cleaned Data'!$M$2:$M$721,'Cleaned Data'!$A$2:$A$721,A62,'Cleaned Data'!$E$2:$E$721,"Third Term")</f>
        <v>54.833333333333336</v>
      </c>
      <c r="E62" s="4">
        <f t="shared" si="0"/>
        <v>-5.6666666666666643</v>
      </c>
      <c r="F62" t="str">
        <f t="shared" si="1"/>
        <v>Dropped</v>
      </c>
    </row>
    <row r="63" spans="1:6" x14ac:dyDescent="0.35">
      <c r="A63" s="9" t="s">
        <v>190</v>
      </c>
      <c r="B63" t="str">
        <f>_xlfn.XLOOKUP(A63,'Cleaned Data'!$A$2:$A$721,'Cleaned Data'!$B$2:$B$721)</f>
        <v>Emeka Mohammed</v>
      </c>
      <c r="C63" s="4">
        <f>AVERAGEIFS('Cleaned Data'!$M$2:$M$721,'Cleaned Data'!$A$2:$A$721,A63,'Cleaned Data'!$E$2:$E$721,"First Term")</f>
        <v>74.166666666666671</v>
      </c>
      <c r="D63" s="4">
        <f>AVERAGEIFS('Cleaned Data'!$M$2:$M$721,'Cleaned Data'!$A$2:$A$721,A63,'Cleaned Data'!$E$2:$E$721,"Third Term")</f>
        <v>84.166666666666671</v>
      </c>
      <c r="E63" s="4">
        <f t="shared" si="0"/>
        <v>10</v>
      </c>
      <c r="F63" t="str">
        <f t="shared" si="1"/>
        <v>Improved</v>
      </c>
    </row>
    <row r="64" spans="1:6" x14ac:dyDescent="0.35">
      <c r="A64" s="8" t="s">
        <v>192</v>
      </c>
      <c r="B64" t="str">
        <f>_xlfn.XLOOKUP(A64,'Cleaned Data'!$A$2:$A$721,'Cleaned Data'!$B$2:$B$721)</f>
        <v>Oluwaseun Balogun</v>
      </c>
      <c r="C64" s="4">
        <f>AVERAGEIFS('Cleaned Data'!$M$2:$M$721,'Cleaned Data'!$A$2:$A$721,A64,'Cleaned Data'!$E$2:$E$721,"First Term")</f>
        <v>36.5</v>
      </c>
      <c r="D64" s="4">
        <f>AVERAGEIFS('Cleaned Data'!$M$2:$M$721,'Cleaned Data'!$A$2:$A$721,A64,'Cleaned Data'!$E$2:$E$721,"Third Term")</f>
        <v>45</v>
      </c>
      <c r="E64" s="4">
        <f t="shared" si="0"/>
        <v>8.5</v>
      </c>
      <c r="F64" t="str">
        <f t="shared" si="1"/>
        <v>Improved</v>
      </c>
    </row>
    <row r="65" spans="1:6" x14ac:dyDescent="0.35">
      <c r="A65" s="9" t="s">
        <v>195</v>
      </c>
      <c r="B65" t="str">
        <f>_xlfn.XLOOKUP(A65,'Cleaned Data'!$A$2:$A$721,'Cleaned Data'!$B$2:$B$721)</f>
        <v>Adaeze Bakare</v>
      </c>
      <c r="C65" s="4">
        <f>AVERAGEIFS('Cleaned Data'!$M$2:$M$721,'Cleaned Data'!$A$2:$A$721,A65,'Cleaned Data'!$E$2:$E$721,"First Term")</f>
        <v>69.5</v>
      </c>
      <c r="D65" s="4">
        <f>AVERAGEIFS('Cleaned Data'!$M$2:$M$721,'Cleaned Data'!$A$2:$A$721,A65,'Cleaned Data'!$E$2:$E$721,"Third Term")</f>
        <v>82.5</v>
      </c>
      <c r="E65" s="4">
        <f t="shared" si="0"/>
        <v>13</v>
      </c>
      <c r="F65" t="str">
        <f t="shared" si="1"/>
        <v>Improved</v>
      </c>
    </row>
    <row r="66" spans="1:6" x14ac:dyDescent="0.35">
      <c r="A66" s="8" t="s">
        <v>198</v>
      </c>
      <c r="B66" t="str">
        <f>_xlfn.XLOOKUP(A66,'Cleaned Data'!$A$2:$A$721,'Cleaned Data'!$B$2:$B$721)</f>
        <v>Comfort Oyewole</v>
      </c>
      <c r="C66" s="4">
        <f>AVERAGEIFS('Cleaned Data'!$M$2:$M$721,'Cleaned Data'!$A$2:$A$721,A66,'Cleaned Data'!$E$2:$E$721,"First Term")</f>
        <v>50.25</v>
      </c>
      <c r="D66" s="4">
        <f>AVERAGEIFS('Cleaned Data'!$M$2:$M$721,'Cleaned Data'!$A$2:$A$721,A66,'Cleaned Data'!$E$2:$E$721,"Third Term")</f>
        <v>55</v>
      </c>
      <c r="E66" s="4">
        <f t="shared" ref="E66:E129" si="3">D66-C66</f>
        <v>4.75</v>
      </c>
      <c r="F66" t="str">
        <f t="shared" ref="F66:F129" si="4">IF(E66&gt;0,"Improved",IF(E66&lt;0,"Dropped","Unchanged"))</f>
        <v>Improved</v>
      </c>
    </row>
    <row r="67" spans="1:6" x14ac:dyDescent="0.35">
      <c r="A67" s="9" t="s">
        <v>201</v>
      </c>
      <c r="B67" t="str">
        <f>_xlfn.XLOOKUP(A67,'Cleaned Data'!$A$2:$A$721,'Cleaned Data'!$B$2:$B$721)</f>
        <v>Ruth Nwankwo</v>
      </c>
      <c r="C67" s="4">
        <f>AVERAGEIFS('Cleaned Data'!$M$2:$M$721,'Cleaned Data'!$A$2:$A$721,A67,'Cleaned Data'!$E$2:$E$721,"First Term")</f>
        <v>53.166666666666664</v>
      </c>
      <c r="D67" s="4">
        <f>AVERAGEIFS('Cleaned Data'!$M$2:$M$721,'Cleaned Data'!$A$2:$A$721,A67,'Cleaned Data'!$E$2:$E$721,"Third Term")</f>
        <v>58</v>
      </c>
      <c r="E67" s="4">
        <f t="shared" si="3"/>
        <v>4.8333333333333357</v>
      </c>
      <c r="F67" t="str">
        <f t="shared" si="4"/>
        <v>Improved</v>
      </c>
    </row>
    <row r="68" spans="1:6" x14ac:dyDescent="0.35">
      <c r="A68" s="8" t="s">
        <v>203</v>
      </c>
      <c r="B68" t="str">
        <f>_xlfn.XLOOKUP(A68,'Cleaned Data'!$A$2:$A$721,'Cleaned Data'!$B$2:$B$721)</f>
        <v>Khadija Idowu</v>
      </c>
      <c r="C68" s="4">
        <f>AVERAGEIFS('Cleaned Data'!$M$2:$M$721,'Cleaned Data'!$A$2:$A$721,A68,'Cleaned Data'!$E$2:$E$721,"First Term")</f>
        <v>41.833333333333336</v>
      </c>
      <c r="D68" s="4">
        <f>AVERAGEIFS('Cleaned Data'!$M$2:$M$721,'Cleaned Data'!$A$2:$A$721,A68,'Cleaned Data'!$E$2:$E$721,"Third Term")</f>
        <v>50.666666666666664</v>
      </c>
      <c r="E68" s="4">
        <f t="shared" si="3"/>
        <v>8.8333333333333286</v>
      </c>
      <c r="F68" t="str">
        <f t="shared" si="4"/>
        <v>Improved</v>
      </c>
    </row>
    <row r="69" spans="1:6" x14ac:dyDescent="0.35">
      <c r="A69" s="9" t="s">
        <v>207</v>
      </c>
      <c r="B69" t="str">
        <f>_xlfn.XLOOKUP(A69,'Cleaned Data'!$A$2:$A$721,'Cleaned Data'!$B$2:$B$721)</f>
        <v>Samuel Bakare</v>
      </c>
      <c r="C69" s="4">
        <f>AVERAGEIFS('Cleaned Data'!$M$2:$M$721,'Cleaned Data'!$A$2:$A$721,A69,'Cleaned Data'!$E$2:$E$721,"First Term")</f>
        <v>68.833333333333329</v>
      </c>
      <c r="D69" s="4">
        <f>AVERAGEIFS('Cleaned Data'!$M$2:$M$721,'Cleaned Data'!$A$2:$A$721,A69,'Cleaned Data'!$E$2:$E$721,"Third Term")</f>
        <v>64.5</v>
      </c>
      <c r="E69" s="4">
        <f t="shared" si="3"/>
        <v>-4.3333333333333286</v>
      </c>
      <c r="F69" t="str">
        <f t="shared" si="4"/>
        <v>Dropped</v>
      </c>
    </row>
    <row r="70" spans="1:6" x14ac:dyDescent="0.35">
      <c r="A70" s="8" t="s">
        <v>209</v>
      </c>
      <c r="B70" t="str">
        <f>_xlfn.XLOOKUP(A70,'Cleaned Data'!$A$2:$A$721,'Cleaned Data'!$B$2:$B$721)</f>
        <v>Khadija Suleiman</v>
      </c>
      <c r="C70" s="4">
        <f>AVERAGEIFS('Cleaned Data'!$M$2:$M$721,'Cleaned Data'!$A$2:$A$721,A70,'Cleaned Data'!$E$2:$E$721,"First Term")</f>
        <v>64.5</v>
      </c>
      <c r="D70" s="4">
        <f>AVERAGEIFS('Cleaned Data'!$M$2:$M$721,'Cleaned Data'!$A$2:$A$721,A70,'Cleaned Data'!$E$2:$E$721,"Third Term")</f>
        <v>57.333333333333336</v>
      </c>
      <c r="E70" s="4">
        <f t="shared" si="3"/>
        <v>-7.1666666666666643</v>
      </c>
      <c r="F70" t="str">
        <f t="shared" si="4"/>
        <v>Dropped</v>
      </c>
    </row>
    <row r="71" spans="1:6" x14ac:dyDescent="0.35">
      <c r="A71" s="9" t="s">
        <v>211</v>
      </c>
      <c r="B71" t="str">
        <f>_xlfn.XLOOKUP(A71,'Cleaned Data'!$A$2:$A$721,'Cleaned Data'!$B$2:$B$721)</f>
        <v>Adesua Okafor</v>
      </c>
      <c r="C71" s="4">
        <f>AVERAGEIFS('Cleaned Data'!$M$2:$M$721,'Cleaned Data'!$A$2:$A$721,A71,'Cleaned Data'!$E$2:$E$721,"First Term")</f>
        <v>67.166666666666671</v>
      </c>
      <c r="D71" s="4">
        <f>AVERAGEIFS('Cleaned Data'!$M$2:$M$721,'Cleaned Data'!$A$2:$A$721,A71,'Cleaned Data'!$E$2:$E$721,"Third Term")</f>
        <v>68.333333333333329</v>
      </c>
      <c r="E71" s="4">
        <f t="shared" si="3"/>
        <v>1.1666666666666572</v>
      </c>
      <c r="F71" t="str">
        <f t="shared" si="4"/>
        <v>Improved</v>
      </c>
    </row>
    <row r="72" spans="1:6" x14ac:dyDescent="0.35">
      <c r="A72" s="8" t="s">
        <v>215</v>
      </c>
      <c r="B72" t="str">
        <f>_xlfn.XLOOKUP(A72,'Cleaned Data'!$A$2:$A$721,'Cleaned Data'!$B$2:$B$721)</f>
        <v>Tayo Oyewole</v>
      </c>
      <c r="C72" s="4">
        <f>AVERAGEIFS('Cleaned Data'!$M$2:$M$721,'Cleaned Data'!$A$2:$A$721,A72,'Cleaned Data'!$E$2:$E$721,"First Term")</f>
        <v>56.333333333333336</v>
      </c>
      <c r="D72" s="4">
        <f>AVERAGEIFS('Cleaned Data'!$M$2:$M$721,'Cleaned Data'!$A$2:$A$721,A72,'Cleaned Data'!$E$2:$E$721,"Third Term")</f>
        <v>59.333333333333336</v>
      </c>
      <c r="E72" s="4">
        <f t="shared" si="3"/>
        <v>3</v>
      </c>
      <c r="F72" t="str">
        <f t="shared" si="4"/>
        <v>Improved</v>
      </c>
    </row>
    <row r="73" spans="1:6" x14ac:dyDescent="0.35">
      <c r="A73" s="9" t="s">
        <v>217</v>
      </c>
      <c r="B73" t="str">
        <f>_xlfn.XLOOKUP(A73,'Cleaned Data'!$A$2:$A$721,'Cleaned Data'!$B$2:$B$721)</f>
        <v>Peter Chukwu</v>
      </c>
      <c r="C73" s="4">
        <f>AVERAGEIFS('Cleaned Data'!$M$2:$M$721,'Cleaned Data'!$A$2:$A$721,A73,'Cleaned Data'!$E$2:$E$721,"First Term")</f>
        <v>68.5</v>
      </c>
      <c r="D73" s="4">
        <f>AVERAGEIFS('Cleaned Data'!$M$2:$M$721,'Cleaned Data'!$A$2:$A$721,A73,'Cleaned Data'!$E$2:$E$721,"Third Term")</f>
        <v>77.333333333333329</v>
      </c>
      <c r="E73" s="4">
        <f t="shared" si="3"/>
        <v>8.8333333333333286</v>
      </c>
      <c r="F73" t="str">
        <f t="shared" si="4"/>
        <v>Improved</v>
      </c>
    </row>
    <row r="74" spans="1:6" x14ac:dyDescent="0.35">
      <c r="A74" s="8" t="s">
        <v>220</v>
      </c>
      <c r="B74" t="str">
        <f>_xlfn.XLOOKUP(A74,'Cleaned Data'!$A$2:$A$721,'Cleaned Data'!$B$2:$B$721)</f>
        <v>Obiageli Onyeka</v>
      </c>
      <c r="C74" s="4">
        <f>AVERAGEIFS('Cleaned Data'!$M$2:$M$721,'Cleaned Data'!$A$2:$A$721,A74,'Cleaned Data'!$E$2:$E$721,"First Term")</f>
        <v>67.5</v>
      </c>
      <c r="D74" s="4">
        <f>AVERAGEIFS('Cleaned Data'!$M$2:$M$721,'Cleaned Data'!$A$2:$A$721,A74,'Cleaned Data'!$E$2:$E$721,"Third Term")</f>
        <v>75</v>
      </c>
      <c r="E74" s="4">
        <f t="shared" si="3"/>
        <v>7.5</v>
      </c>
      <c r="F74" t="str">
        <f t="shared" si="4"/>
        <v>Improved</v>
      </c>
    </row>
    <row r="75" spans="1:6" x14ac:dyDescent="0.35">
      <c r="A75" s="9" t="s">
        <v>224</v>
      </c>
      <c r="B75" t="str">
        <f>_xlfn.XLOOKUP(A75,'Cleaned Data'!$A$2:$A$721,'Cleaned Data'!$B$2:$B$721)</f>
        <v>Obinna Williams</v>
      </c>
      <c r="C75" s="4">
        <f>AVERAGEIFS('Cleaned Data'!$M$2:$M$721,'Cleaned Data'!$A$2:$A$721,A75,'Cleaned Data'!$E$2:$E$721,"First Term")</f>
        <v>67.166666666666671</v>
      </c>
      <c r="D75" s="4">
        <f>AVERAGEIFS('Cleaned Data'!$M$2:$M$721,'Cleaned Data'!$A$2:$A$721,A75,'Cleaned Data'!$E$2:$E$721,"Third Term")</f>
        <v>69.833333333333329</v>
      </c>
      <c r="E75" s="4">
        <f t="shared" si="3"/>
        <v>2.6666666666666572</v>
      </c>
      <c r="F75" t="str">
        <f t="shared" si="4"/>
        <v>Improved</v>
      </c>
    </row>
    <row r="76" spans="1:6" x14ac:dyDescent="0.35">
      <c r="A76" s="8" t="s">
        <v>227</v>
      </c>
      <c r="B76" t="str">
        <f>_xlfn.XLOOKUP(A76,'Cleaned Data'!$A$2:$A$721,'Cleaned Data'!$B$2:$B$721)</f>
        <v>Chiamaka Nwosu</v>
      </c>
      <c r="C76" s="4">
        <f>AVERAGEIFS('Cleaned Data'!$M$2:$M$721,'Cleaned Data'!$A$2:$A$721,A76,'Cleaned Data'!$E$2:$E$721,"First Term")</f>
        <v>58.166666666666664</v>
      </c>
      <c r="D76" s="4">
        <f>AVERAGEIFS('Cleaned Data'!$M$2:$M$721,'Cleaned Data'!$A$2:$A$721,A76,'Cleaned Data'!$E$2:$E$721,"Third Term")</f>
        <v>65</v>
      </c>
      <c r="E76" s="4">
        <f t="shared" si="3"/>
        <v>6.8333333333333357</v>
      </c>
      <c r="F76" t="str">
        <f t="shared" si="4"/>
        <v>Improved</v>
      </c>
    </row>
    <row r="77" spans="1:6" x14ac:dyDescent="0.35">
      <c r="A77" s="9" t="s">
        <v>230</v>
      </c>
      <c r="B77" t="str">
        <f>_xlfn.XLOOKUP(A77,'Cleaned Data'!$A$2:$A$721,'Cleaned Data'!$B$2:$B$721)</f>
        <v>Bello Eze</v>
      </c>
      <c r="C77" s="4">
        <f>AVERAGEIFS('Cleaned Data'!$M$2:$M$721,'Cleaned Data'!$A$2:$A$721,A77,'Cleaned Data'!$E$2:$E$721,"First Term")</f>
        <v>53.833333333333336</v>
      </c>
      <c r="D77" s="4">
        <f>AVERAGEIFS('Cleaned Data'!$M$2:$M$721,'Cleaned Data'!$A$2:$A$721,A77,'Cleaned Data'!$E$2:$E$721,"Third Term")</f>
        <v>45.833333333333336</v>
      </c>
      <c r="E77" s="4">
        <f t="shared" si="3"/>
        <v>-8</v>
      </c>
      <c r="F77" t="str">
        <f t="shared" si="4"/>
        <v>Dropped</v>
      </c>
    </row>
    <row r="78" spans="1:6" x14ac:dyDescent="0.35">
      <c r="A78" s="8" t="s">
        <v>233</v>
      </c>
      <c r="B78" t="str">
        <f>_xlfn.XLOOKUP(A78,'Cleaned Data'!$A$2:$A$721,'Cleaned Data'!$B$2:$B$721)</f>
        <v>Nnamdi Ibrahim</v>
      </c>
      <c r="C78" s="4">
        <f>AVERAGEIFS('Cleaned Data'!$M$2:$M$721,'Cleaned Data'!$A$2:$A$721,A78,'Cleaned Data'!$E$2:$E$721,"First Term")</f>
        <v>67.833333333333329</v>
      </c>
      <c r="D78" s="4">
        <f>AVERAGEIFS('Cleaned Data'!$M$2:$M$721,'Cleaned Data'!$A$2:$A$721,A78,'Cleaned Data'!$E$2:$E$721,"Third Term")</f>
        <v>91.5</v>
      </c>
      <c r="E78" s="4">
        <f t="shared" si="3"/>
        <v>23.666666666666671</v>
      </c>
      <c r="F78" t="str">
        <f t="shared" si="4"/>
        <v>Improved</v>
      </c>
    </row>
    <row r="79" spans="1:6" x14ac:dyDescent="0.35">
      <c r="A79" s="9" t="s">
        <v>237</v>
      </c>
      <c r="B79" t="str">
        <f>_xlfn.XLOOKUP(A79,'Cleaned Data'!$A$2:$A$721,'Cleaned Data'!$B$2:$B$721)</f>
        <v>Funmilayo Adewale</v>
      </c>
      <c r="C79" s="4">
        <f>AVERAGEIFS('Cleaned Data'!$M$2:$M$721,'Cleaned Data'!$A$2:$A$721,A79,'Cleaned Data'!$E$2:$E$721,"First Term")</f>
        <v>61.333333333333336</v>
      </c>
      <c r="D79" s="4">
        <f>AVERAGEIFS('Cleaned Data'!$M$2:$M$721,'Cleaned Data'!$A$2:$A$721,A79,'Cleaned Data'!$E$2:$E$721,"Third Term")</f>
        <v>65.833333333333329</v>
      </c>
      <c r="E79" s="4">
        <f t="shared" si="3"/>
        <v>4.4999999999999929</v>
      </c>
      <c r="F79" t="str">
        <f t="shared" si="4"/>
        <v>Improved</v>
      </c>
    </row>
    <row r="80" spans="1:6" x14ac:dyDescent="0.35">
      <c r="A80" s="8" t="s">
        <v>241</v>
      </c>
      <c r="B80" t="str">
        <f>_xlfn.XLOOKUP(A80,'Cleaned Data'!$A$2:$A$721,'Cleaned Data'!$B$2:$B$721)</f>
        <v>Nnamdi Williams</v>
      </c>
      <c r="C80" s="4">
        <f>AVERAGEIFS('Cleaned Data'!$M$2:$M$721,'Cleaned Data'!$A$2:$A$721,A80,'Cleaned Data'!$E$2:$E$721,"First Term")</f>
        <v>56.833333333333336</v>
      </c>
      <c r="D80" s="4">
        <f>AVERAGEIFS('Cleaned Data'!$M$2:$M$721,'Cleaned Data'!$A$2:$A$721,A80,'Cleaned Data'!$E$2:$E$721,"Third Term")</f>
        <v>58.333333333333336</v>
      </c>
      <c r="E80" s="4">
        <f t="shared" si="3"/>
        <v>1.5</v>
      </c>
      <c r="F80" t="str">
        <f t="shared" si="4"/>
        <v>Improved</v>
      </c>
    </row>
    <row r="81" spans="1:6" x14ac:dyDescent="0.35">
      <c r="A81" s="9" t="s">
        <v>243</v>
      </c>
      <c r="B81" t="str">
        <f>_xlfn.XLOOKUP(A81,'Cleaned Data'!$A$2:$A$721,'Cleaned Data'!$B$2:$B$721)</f>
        <v>Musa Olawale</v>
      </c>
      <c r="C81" s="4">
        <f>AVERAGEIFS('Cleaned Data'!$M$2:$M$721,'Cleaned Data'!$A$2:$A$721,A81,'Cleaned Data'!$E$2:$E$721,"First Term")</f>
        <v>56.333333333333336</v>
      </c>
      <c r="D81" s="4">
        <f>AVERAGEIFS('Cleaned Data'!$M$2:$M$721,'Cleaned Data'!$A$2:$A$721,A81,'Cleaned Data'!$E$2:$E$721,"Third Term")</f>
        <v>54.5</v>
      </c>
      <c r="E81" s="4">
        <f t="shared" si="3"/>
        <v>-1.8333333333333357</v>
      </c>
      <c r="F81" t="str">
        <f t="shared" si="4"/>
        <v>Dropped</v>
      </c>
    </row>
    <row r="82" spans="1:6" x14ac:dyDescent="0.35">
      <c r="A82" s="8" t="s">
        <v>245</v>
      </c>
      <c r="B82" t="str">
        <f>_xlfn.XLOOKUP(A82,'Cleaned Data'!$A$2:$A$721,'Cleaned Data'!$B$2:$B$721)</f>
        <v>Folake Aliyu</v>
      </c>
      <c r="C82" s="4">
        <f>AVERAGEIFS('Cleaned Data'!$M$2:$M$721,'Cleaned Data'!$A$2:$A$721,A82,'Cleaned Data'!$E$2:$E$721,"First Term")</f>
        <v>55.333333333333336</v>
      </c>
      <c r="D82" s="4">
        <f>AVERAGEIFS('Cleaned Data'!$M$2:$M$721,'Cleaned Data'!$A$2:$A$721,A82,'Cleaned Data'!$E$2:$E$721,"Third Term")</f>
        <v>48.666666666666664</v>
      </c>
      <c r="E82" s="4">
        <f t="shared" si="3"/>
        <v>-6.6666666666666714</v>
      </c>
      <c r="F82" t="str">
        <f t="shared" si="4"/>
        <v>Dropped</v>
      </c>
    </row>
    <row r="83" spans="1:6" x14ac:dyDescent="0.35">
      <c r="A83" s="9" t="s">
        <v>249</v>
      </c>
      <c r="B83" t="str">
        <f>_xlfn.XLOOKUP(A83,'Cleaned Data'!$A$2:$A$721,'Cleaned Data'!$B$2:$B$721)</f>
        <v>Yusuf Musa</v>
      </c>
      <c r="C83" s="4">
        <f>AVERAGEIFS('Cleaned Data'!$M$2:$M$721,'Cleaned Data'!$A$2:$A$721,A83,'Cleaned Data'!$E$2:$E$721,"First Term")</f>
        <v>61.666666666666664</v>
      </c>
      <c r="D83" s="4">
        <f>AVERAGEIFS('Cleaned Data'!$M$2:$M$721,'Cleaned Data'!$A$2:$A$721,A83,'Cleaned Data'!$E$2:$E$721,"Third Term")</f>
        <v>62.166666666666664</v>
      </c>
      <c r="E83" s="4">
        <f t="shared" si="3"/>
        <v>0.5</v>
      </c>
      <c r="F83" t="str">
        <f t="shared" si="4"/>
        <v>Improved</v>
      </c>
    </row>
    <row r="84" spans="1:6" x14ac:dyDescent="0.35">
      <c r="A84" s="8" t="s">
        <v>251</v>
      </c>
      <c r="B84" t="str">
        <f>_xlfn.XLOOKUP(A84,'Cleaned Data'!$A$2:$A$721,'Cleaned Data'!$B$2:$B$721)</f>
        <v>Ruth Afolabi</v>
      </c>
      <c r="C84" s="4">
        <f>AVERAGEIFS('Cleaned Data'!$M$2:$M$721,'Cleaned Data'!$A$2:$A$721,A84,'Cleaned Data'!$E$2:$E$721,"First Term")</f>
        <v>61.833333333333336</v>
      </c>
      <c r="D84" s="4">
        <f>AVERAGEIFS('Cleaned Data'!$M$2:$M$721,'Cleaned Data'!$A$2:$A$721,A84,'Cleaned Data'!$E$2:$E$721,"Third Term")</f>
        <v>65.166666666666671</v>
      </c>
      <c r="E84" s="4">
        <f t="shared" si="3"/>
        <v>3.3333333333333357</v>
      </c>
      <c r="F84" t="str">
        <f t="shared" si="4"/>
        <v>Improved</v>
      </c>
    </row>
    <row r="85" spans="1:6" x14ac:dyDescent="0.35">
      <c r="A85" s="9" t="s">
        <v>254</v>
      </c>
      <c r="B85" t="str">
        <f>_xlfn.XLOOKUP(A85,'Cleaned Data'!$A$2:$A$721,'Cleaned Data'!$B$2:$B$721)</f>
        <v>Omolara Oyewole</v>
      </c>
      <c r="C85" s="4">
        <f>AVERAGEIFS('Cleaned Data'!$M$2:$M$721,'Cleaned Data'!$A$2:$A$721,A85,'Cleaned Data'!$E$2:$E$721,"First Term")</f>
        <v>73.166666666666671</v>
      </c>
      <c r="D85" s="4">
        <f>AVERAGEIFS('Cleaned Data'!$M$2:$M$721,'Cleaned Data'!$A$2:$A$721,A85,'Cleaned Data'!$E$2:$E$721,"Third Term")</f>
        <v>73.5</v>
      </c>
      <c r="E85" s="4">
        <f t="shared" si="3"/>
        <v>0.3333333333333286</v>
      </c>
      <c r="F85" t="str">
        <f t="shared" si="4"/>
        <v>Improved</v>
      </c>
    </row>
    <row r="86" spans="1:6" x14ac:dyDescent="0.35">
      <c r="A86" s="8" t="s">
        <v>257</v>
      </c>
      <c r="B86" t="str">
        <f>_xlfn.XLOOKUP(A86,'Cleaned Data'!$A$2:$A$721,'Cleaned Data'!$B$2:$B$721)</f>
        <v>Femi Uzor</v>
      </c>
      <c r="C86" s="4">
        <f>AVERAGEIFS('Cleaned Data'!$M$2:$M$721,'Cleaned Data'!$A$2:$A$721,A86,'Cleaned Data'!$E$2:$E$721,"First Term")</f>
        <v>82.666666666666671</v>
      </c>
      <c r="D86" s="4">
        <f>AVERAGEIFS('Cleaned Data'!$M$2:$M$721,'Cleaned Data'!$A$2:$A$721,A86,'Cleaned Data'!$E$2:$E$721,"Third Term")</f>
        <v>74.166666666666671</v>
      </c>
      <c r="E86" s="4">
        <f t="shared" si="3"/>
        <v>-8.5</v>
      </c>
      <c r="F86" t="str">
        <f t="shared" si="4"/>
        <v>Dropped</v>
      </c>
    </row>
    <row r="87" spans="1:6" x14ac:dyDescent="0.35">
      <c r="A87" s="9" t="s">
        <v>260</v>
      </c>
      <c r="B87" t="str">
        <f>_xlfn.XLOOKUP(A87,'Cleaned Data'!$A$2:$A$721,'Cleaned Data'!$B$2:$B$721)</f>
        <v>John Ojo</v>
      </c>
      <c r="C87" s="4">
        <f>AVERAGEIFS('Cleaned Data'!$M$2:$M$721,'Cleaned Data'!$A$2:$A$721,A87,'Cleaned Data'!$E$2:$E$721,"First Term")</f>
        <v>55</v>
      </c>
      <c r="D87" s="4">
        <f>AVERAGEIFS('Cleaned Data'!$M$2:$M$721,'Cleaned Data'!$A$2:$A$721,A87,'Cleaned Data'!$E$2:$E$721,"Third Term")</f>
        <v>57</v>
      </c>
      <c r="E87" s="4">
        <f t="shared" si="3"/>
        <v>2</v>
      </c>
      <c r="F87" t="str">
        <f t="shared" si="4"/>
        <v>Improved</v>
      </c>
    </row>
    <row r="88" spans="1:6" x14ac:dyDescent="0.35">
      <c r="A88" s="8" t="s">
        <v>265</v>
      </c>
      <c r="B88" t="str">
        <f>_xlfn.XLOOKUP(A88,'Cleaned Data'!$A$2:$A$721,'Cleaned Data'!$B$2:$B$721)</f>
        <v>Michael Amadi</v>
      </c>
      <c r="C88" s="4">
        <f>AVERAGEIFS('Cleaned Data'!$M$2:$M$721,'Cleaned Data'!$A$2:$A$721,A88,'Cleaned Data'!$E$2:$E$721,"First Term")</f>
        <v>87.166666666666671</v>
      </c>
      <c r="D88" s="4">
        <f>AVERAGEIFS('Cleaned Data'!$M$2:$M$721,'Cleaned Data'!$A$2:$A$721,A88,'Cleaned Data'!$E$2:$E$721,"Third Term")</f>
        <v>90.333333333333329</v>
      </c>
      <c r="E88" s="4">
        <f t="shared" si="3"/>
        <v>3.1666666666666572</v>
      </c>
      <c r="F88" t="str">
        <f t="shared" si="4"/>
        <v>Improved</v>
      </c>
    </row>
    <row r="89" spans="1:6" x14ac:dyDescent="0.35">
      <c r="A89" s="9" t="s">
        <v>267</v>
      </c>
      <c r="B89" t="str">
        <f>_xlfn.XLOOKUP(A89,'Cleaned Data'!$A$2:$A$721,'Cleaned Data'!$B$2:$B$721)</f>
        <v>Sade Obi</v>
      </c>
      <c r="C89" s="4">
        <f>AVERAGEIFS('Cleaned Data'!$M$2:$M$721,'Cleaned Data'!$A$2:$A$721,A89,'Cleaned Data'!$E$2:$E$721,"First Term")</f>
        <v>59.166666666666664</v>
      </c>
      <c r="D89" s="4">
        <f>AVERAGEIFS('Cleaned Data'!$M$2:$M$721,'Cleaned Data'!$A$2:$A$721,A89,'Cleaned Data'!$E$2:$E$721,"Third Term")</f>
        <v>64</v>
      </c>
      <c r="E89" s="4">
        <f t="shared" si="3"/>
        <v>4.8333333333333357</v>
      </c>
      <c r="F89" t="str">
        <f t="shared" si="4"/>
        <v>Improved</v>
      </c>
    </row>
    <row r="90" spans="1:6" x14ac:dyDescent="0.35">
      <c r="A90" s="8" t="s">
        <v>271</v>
      </c>
      <c r="B90" t="str">
        <f>_xlfn.XLOOKUP(A90,'Cleaned Data'!$A$2:$A$721,'Cleaned Data'!$B$2:$B$721)</f>
        <v>Tunde Umar</v>
      </c>
      <c r="C90" s="4">
        <f>AVERAGEIFS('Cleaned Data'!$M$2:$M$721,'Cleaned Data'!$A$2:$A$721,A90,'Cleaned Data'!$E$2:$E$721,"First Term")</f>
        <v>74.666666666666671</v>
      </c>
      <c r="D90" s="4">
        <f>AVERAGEIFS('Cleaned Data'!$M$2:$M$721,'Cleaned Data'!$A$2:$A$721,A90,'Cleaned Data'!$E$2:$E$721,"Third Term")</f>
        <v>77.833333333333329</v>
      </c>
      <c r="E90" s="4">
        <f t="shared" si="3"/>
        <v>3.1666666666666572</v>
      </c>
      <c r="F90" t="str">
        <f t="shared" si="4"/>
        <v>Improved</v>
      </c>
    </row>
    <row r="91" spans="1:6" x14ac:dyDescent="0.35">
      <c r="A91" s="9" t="s">
        <v>273</v>
      </c>
      <c r="B91" t="str">
        <f>_xlfn.XLOOKUP(A91,'Cleaned Data'!$A$2:$A$721,'Cleaned Data'!$B$2:$B$721)</f>
        <v>Ngozi Bello</v>
      </c>
      <c r="C91" s="4">
        <f>AVERAGEIFS('Cleaned Data'!$M$2:$M$721,'Cleaned Data'!$A$2:$A$721,A91,'Cleaned Data'!$E$2:$E$721,"First Term")</f>
        <v>66</v>
      </c>
      <c r="D91" s="4">
        <f>AVERAGEIFS('Cleaned Data'!$M$2:$M$721,'Cleaned Data'!$A$2:$A$721,A91,'Cleaned Data'!$E$2:$E$721,"Third Term")</f>
        <v>71.333333333333329</v>
      </c>
      <c r="E91" s="4">
        <f t="shared" si="3"/>
        <v>5.3333333333333286</v>
      </c>
      <c r="F91" t="str">
        <f t="shared" si="4"/>
        <v>Improved</v>
      </c>
    </row>
    <row r="92" spans="1:6" x14ac:dyDescent="0.35">
      <c r="A92" s="8" t="s">
        <v>276</v>
      </c>
      <c r="B92" t="str">
        <f>_xlfn.XLOOKUP(A92,'Cleaned Data'!$A$2:$A$721,'Cleaned Data'!$B$2:$B$721)</f>
        <v>Yusuf Abubakar</v>
      </c>
      <c r="C92" s="4">
        <f>AVERAGEIFS('Cleaned Data'!$M$2:$M$721,'Cleaned Data'!$A$2:$A$721,A92,'Cleaned Data'!$E$2:$E$721,"First Term")</f>
        <v>45</v>
      </c>
      <c r="D92" s="4">
        <f>AVERAGEIFS('Cleaned Data'!$M$2:$M$721,'Cleaned Data'!$A$2:$A$721,A92,'Cleaned Data'!$E$2:$E$721,"Third Term")</f>
        <v>53.5</v>
      </c>
      <c r="E92" s="4">
        <f t="shared" si="3"/>
        <v>8.5</v>
      </c>
      <c r="F92" t="str">
        <f t="shared" si="4"/>
        <v>Improved</v>
      </c>
    </row>
    <row r="93" spans="1:6" x14ac:dyDescent="0.35">
      <c r="A93" s="9" t="s">
        <v>278</v>
      </c>
      <c r="B93" t="str">
        <f>_xlfn.XLOOKUP(A93,'Cleaned Data'!$A$2:$A$721,'Cleaned Data'!$B$2:$B$721)</f>
        <v>Adaeze Nwankwo</v>
      </c>
      <c r="C93" s="4">
        <f>AVERAGEIFS('Cleaned Data'!$M$2:$M$721,'Cleaned Data'!$A$2:$A$721,A93,'Cleaned Data'!$E$2:$E$721,"First Term")</f>
        <v>60.333333333333336</v>
      </c>
      <c r="D93" s="4">
        <f>AVERAGEIFS('Cleaned Data'!$M$2:$M$721,'Cleaned Data'!$A$2:$A$721,A93,'Cleaned Data'!$E$2:$E$721,"Third Term")</f>
        <v>81.5</v>
      </c>
      <c r="E93" s="4">
        <f t="shared" si="3"/>
        <v>21.166666666666664</v>
      </c>
      <c r="F93" t="str">
        <f t="shared" si="4"/>
        <v>Improved</v>
      </c>
    </row>
    <row r="94" spans="1:6" x14ac:dyDescent="0.35">
      <c r="A94" s="8" t="s">
        <v>280</v>
      </c>
      <c r="B94" t="str">
        <f>_xlfn.XLOOKUP(A94,'Cleaned Data'!$A$2:$A$721,'Cleaned Data'!$B$2:$B$721)</f>
        <v>Bello Ogbonna</v>
      </c>
      <c r="C94" s="4">
        <f>AVERAGEIFS('Cleaned Data'!$M$2:$M$721,'Cleaned Data'!$A$2:$A$721,A94,'Cleaned Data'!$E$2:$E$721,"First Term")</f>
        <v>58.166666666666664</v>
      </c>
      <c r="D94" s="4">
        <f>AVERAGEIFS('Cleaned Data'!$M$2:$M$721,'Cleaned Data'!$A$2:$A$721,A94,'Cleaned Data'!$E$2:$E$721,"Third Term")</f>
        <v>54.333333333333336</v>
      </c>
      <c r="E94" s="4">
        <f t="shared" si="3"/>
        <v>-3.8333333333333286</v>
      </c>
      <c r="F94" t="str">
        <f t="shared" si="4"/>
        <v>Dropped</v>
      </c>
    </row>
    <row r="95" spans="1:6" x14ac:dyDescent="0.35">
      <c r="A95" s="9" t="s">
        <v>283</v>
      </c>
      <c r="B95" t="str">
        <f>_xlfn.XLOOKUP(A95,'Cleaned Data'!$A$2:$A$721,'Cleaned Data'!$B$2:$B$721)</f>
        <v>Olumide Eke</v>
      </c>
      <c r="C95" s="4">
        <f>AVERAGEIFS('Cleaned Data'!$M$2:$M$721,'Cleaned Data'!$A$2:$A$721,A95,'Cleaned Data'!$E$2:$E$721,"First Term")</f>
        <v>66.5</v>
      </c>
      <c r="D95" s="4">
        <f>AVERAGEIFS('Cleaned Data'!$M$2:$M$721,'Cleaned Data'!$A$2:$A$721,A95,'Cleaned Data'!$E$2:$E$721,"Third Term")</f>
        <v>72</v>
      </c>
      <c r="E95" s="4">
        <f t="shared" si="3"/>
        <v>5.5</v>
      </c>
      <c r="F95" t="str">
        <f t="shared" si="4"/>
        <v>Improved</v>
      </c>
    </row>
    <row r="96" spans="1:6" x14ac:dyDescent="0.35">
      <c r="A96" s="8" t="s">
        <v>285</v>
      </c>
      <c r="B96" t="str">
        <f>_xlfn.XLOOKUP(A96,'Cleaned Data'!$A$2:$A$721,'Cleaned Data'!$B$2:$B$721)</f>
        <v>Daniel Salami</v>
      </c>
      <c r="C96" s="4">
        <f>AVERAGEIFS('Cleaned Data'!$M$2:$M$721,'Cleaned Data'!$A$2:$A$721,A96,'Cleaned Data'!$E$2:$E$721,"First Term")</f>
        <v>67.666666666666671</v>
      </c>
      <c r="D96" s="4">
        <f>AVERAGEIFS('Cleaned Data'!$M$2:$M$721,'Cleaned Data'!$A$2:$A$721,A96,'Cleaned Data'!$E$2:$E$721,"Third Term")</f>
        <v>65.166666666666671</v>
      </c>
      <c r="E96" s="4">
        <f t="shared" si="3"/>
        <v>-2.5</v>
      </c>
      <c r="F96" t="str">
        <f t="shared" si="4"/>
        <v>Dropped</v>
      </c>
    </row>
    <row r="97" spans="1:6" x14ac:dyDescent="0.35">
      <c r="A97" s="9" t="s">
        <v>287</v>
      </c>
      <c r="B97" t="str">
        <f>_xlfn.XLOOKUP(A97,'Cleaned Data'!$A$2:$A$721,'Cleaned Data'!$B$2:$B$721)</f>
        <v>Precious Musa</v>
      </c>
      <c r="C97" s="4">
        <f>AVERAGEIFS('Cleaned Data'!$M$2:$M$721,'Cleaned Data'!$A$2:$A$721,A97,'Cleaned Data'!$E$2:$E$721,"First Term")</f>
        <v>72.166666666666671</v>
      </c>
      <c r="D97" s="4">
        <f>AVERAGEIFS('Cleaned Data'!$M$2:$M$721,'Cleaned Data'!$A$2:$A$721,A97,'Cleaned Data'!$E$2:$E$721,"Third Term")</f>
        <v>78.5</v>
      </c>
      <c r="E97" s="4">
        <f t="shared" si="3"/>
        <v>6.3333333333333286</v>
      </c>
      <c r="F97" t="str">
        <f t="shared" si="4"/>
        <v>Improved</v>
      </c>
    </row>
    <row r="98" spans="1:6" x14ac:dyDescent="0.35">
      <c r="A98" s="8" t="s">
        <v>289</v>
      </c>
      <c r="B98" t="str">
        <f>_xlfn.XLOOKUP(A98,'Cleaned Data'!$A$2:$A$721,'Cleaned Data'!$B$2:$B$721)</f>
        <v>Yetunde Adebayo</v>
      </c>
      <c r="C98" s="4">
        <f>AVERAGEIFS('Cleaned Data'!$M$2:$M$721,'Cleaned Data'!$A$2:$A$721,A98,'Cleaned Data'!$E$2:$E$721,"First Term")</f>
        <v>83.5</v>
      </c>
      <c r="D98" s="4">
        <f>AVERAGEIFS('Cleaned Data'!$M$2:$M$721,'Cleaned Data'!$A$2:$A$721,A98,'Cleaned Data'!$E$2:$E$721,"Third Term")</f>
        <v>91</v>
      </c>
      <c r="E98" s="4">
        <f t="shared" si="3"/>
        <v>7.5</v>
      </c>
      <c r="F98" t="str">
        <f t="shared" si="4"/>
        <v>Improved</v>
      </c>
    </row>
    <row r="99" spans="1:6" x14ac:dyDescent="0.35">
      <c r="A99" s="9" t="s">
        <v>291</v>
      </c>
      <c r="B99" t="str">
        <f>_xlfn.XLOOKUP(A99,'Cleaned Data'!$A$2:$A$721,'Cleaned Data'!$B$2:$B$721)</f>
        <v>Uchenna Obi</v>
      </c>
      <c r="C99" s="4">
        <f>AVERAGEIFS('Cleaned Data'!$M$2:$M$721,'Cleaned Data'!$A$2:$A$721,A99,'Cleaned Data'!$E$2:$E$721,"First Term")</f>
        <v>65.833333333333329</v>
      </c>
      <c r="D99" s="4">
        <f>AVERAGEIFS('Cleaned Data'!$M$2:$M$721,'Cleaned Data'!$A$2:$A$721,A99,'Cleaned Data'!$E$2:$E$721,"Third Term")</f>
        <v>63</v>
      </c>
      <c r="E99" s="4">
        <f t="shared" si="3"/>
        <v>-2.8333333333333286</v>
      </c>
      <c r="F99" t="str">
        <f t="shared" si="4"/>
        <v>Dropped</v>
      </c>
    </row>
    <row r="100" spans="1:6" x14ac:dyDescent="0.35">
      <c r="A100" s="8" t="s">
        <v>293</v>
      </c>
      <c r="B100" t="str">
        <f>_xlfn.XLOOKUP(A100,'Cleaned Data'!$A$2:$A$721,'Cleaned Data'!$B$2:$B$721)</f>
        <v>Emmanuel Thomas</v>
      </c>
      <c r="C100" s="4">
        <f>AVERAGEIFS('Cleaned Data'!$M$2:$M$721,'Cleaned Data'!$A$2:$A$721,A100,'Cleaned Data'!$E$2:$E$721,"First Term")</f>
        <v>66.166666666666671</v>
      </c>
      <c r="D100" s="4">
        <f>AVERAGEIFS('Cleaned Data'!$M$2:$M$721,'Cleaned Data'!$A$2:$A$721,A100,'Cleaned Data'!$E$2:$E$721,"Third Term")</f>
        <v>73.666666666666671</v>
      </c>
      <c r="E100" s="4">
        <f t="shared" si="3"/>
        <v>7.5</v>
      </c>
      <c r="F100" t="str">
        <f t="shared" si="4"/>
        <v>Improved</v>
      </c>
    </row>
    <row r="101" spans="1:6" x14ac:dyDescent="0.35">
      <c r="A101" s="9" t="s">
        <v>295</v>
      </c>
      <c r="B101" t="str">
        <f>_xlfn.XLOOKUP(A101,'Cleaned Data'!$A$2:$A$721,'Cleaned Data'!$B$2:$B$721)</f>
        <v>Patience Nwosu</v>
      </c>
      <c r="C101" s="4">
        <f>AVERAGEIFS('Cleaned Data'!$M$2:$M$721,'Cleaned Data'!$A$2:$A$721,A101,'Cleaned Data'!$E$2:$E$721,"First Term")</f>
        <v>69.833333333333329</v>
      </c>
      <c r="D101" s="4">
        <f>AVERAGEIFS('Cleaned Data'!$M$2:$M$721,'Cleaned Data'!$A$2:$A$721,A101,'Cleaned Data'!$E$2:$E$721,"Third Term")</f>
        <v>76.833333333333329</v>
      </c>
      <c r="E101" s="4">
        <f t="shared" si="3"/>
        <v>7</v>
      </c>
      <c r="F101" t="str">
        <f t="shared" si="4"/>
        <v>Improved</v>
      </c>
    </row>
    <row r="102" spans="1:6" x14ac:dyDescent="0.35">
      <c r="A102" s="8" t="s">
        <v>297</v>
      </c>
      <c r="B102" t="str">
        <f>_xlfn.XLOOKUP(A102,'Cleaned Data'!$A$2:$A$721,'Cleaned Data'!$B$2:$B$721)</f>
        <v>Wuraola Ezeh</v>
      </c>
      <c r="C102" s="4">
        <f>AVERAGEIFS('Cleaned Data'!$M$2:$M$721,'Cleaned Data'!$A$2:$A$721,A102,'Cleaned Data'!$E$2:$E$721,"First Term")</f>
        <v>58.666666666666664</v>
      </c>
      <c r="D102" s="4">
        <f>AVERAGEIFS('Cleaned Data'!$M$2:$M$721,'Cleaned Data'!$A$2:$A$721,A102,'Cleaned Data'!$E$2:$E$721,"Third Term")</f>
        <v>65.333333333333329</v>
      </c>
      <c r="E102" s="4">
        <f t="shared" si="3"/>
        <v>6.6666666666666643</v>
      </c>
      <c r="F102" t="str">
        <f t="shared" si="4"/>
        <v>Improved</v>
      </c>
    </row>
    <row r="103" spans="1:6" x14ac:dyDescent="0.35">
      <c r="A103" s="9" t="s">
        <v>301</v>
      </c>
      <c r="B103" t="str">
        <f>_xlfn.XLOOKUP(A103,'Cleaned Data'!$A$2:$A$721,'Cleaned Data'!$B$2:$B$721)</f>
        <v>Zainab Chukwu</v>
      </c>
      <c r="C103" s="4">
        <f>AVERAGEIFS('Cleaned Data'!$M$2:$M$721,'Cleaned Data'!$A$2:$A$721,A103,'Cleaned Data'!$E$2:$E$721,"First Term")</f>
        <v>50.166666666666664</v>
      </c>
      <c r="D103" s="4">
        <f>AVERAGEIFS('Cleaned Data'!$M$2:$M$721,'Cleaned Data'!$A$2:$A$721,A103,'Cleaned Data'!$E$2:$E$721,"Third Term")</f>
        <v>65.5</v>
      </c>
      <c r="E103" s="4">
        <f t="shared" si="3"/>
        <v>15.333333333333336</v>
      </c>
      <c r="F103" t="str">
        <f t="shared" si="4"/>
        <v>Improved</v>
      </c>
    </row>
    <row r="104" spans="1:6" x14ac:dyDescent="0.35">
      <c r="A104" s="8" t="s">
        <v>304</v>
      </c>
      <c r="B104" t="str">
        <f>_xlfn.XLOOKUP(A104,'Cleaned Data'!$A$2:$A$721,'Cleaned Data'!$B$2:$B$721)</f>
        <v>Ngozi Olawale</v>
      </c>
      <c r="C104" s="4">
        <f>AVERAGEIFS('Cleaned Data'!$M$2:$M$721,'Cleaned Data'!$A$2:$A$721,A104,'Cleaned Data'!$E$2:$E$721,"First Term")</f>
        <v>41.666666666666664</v>
      </c>
      <c r="D104" s="4">
        <f>AVERAGEIFS('Cleaned Data'!$M$2:$M$721,'Cleaned Data'!$A$2:$A$721,A104,'Cleaned Data'!$E$2:$E$721,"Third Term")</f>
        <v>33.833333333333336</v>
      </c>
      <c r="E104" s="4">
        <f t="shared" si="3"/>
        <v>-7.8333333333333286</v>
      </c>
      <c r="F104" t="str">
        <f t="shared" si="4"/>
        <v>Dropped</v>
      </c>
    </row>
    <row r="105" spans="1:6" x14ac:dyDescent="0.35">
      <c r="A105" s="9" t="s">
        <v>307</v>
      </c>
      <c r="B105" t="str">
        <f>_xlfn.XLOOKUP(A105,'Cleaned Data'!$A$2:$A$721,'Cleaned Data'!$B$2:$B$721)</f>
        <v>Funmilayo Uzor</v>
      </c>
      <c r="C105" s="4">
        <f>AVERAGEIFS('Cleaned Data'!$M$2:$M$721,'Cleaned Data'!$A$2:$A$721,A105,'Cleaned Data'!$E$2:$E$721,"First Term")</f>
        <v>42.166666666666664</v>
      </c>
      <c r="D105" s="4">
        <f>AVERAGEIFS('Cleaned Data'!$M$2:$M$721,'Cleaned Data'!$A$2:$A$721,A105,'Cleaned Data'!$E$2:$E$721,"Third Term")</f>
        <v>34.166666666666664</v>
      </c>
      <c r="E105" s="4">
        <f t="shared" si="3"/>
        <v>-8</v>
      </c>
      <c r="F105" t="str">
        <f t="shared" si="4"/>
        <v>Dropped</v>
      </c>
    </row>
    <row r="106" spans="1:6" x14ac:dyDescent="0.35">
      <c r="A106" s="8" t="s">
        <v>310</v>
      </c>
      <c r="B106" t="str">
        <f>_xlfn.XLOOKUP(A106,'Cleaned Data'!$A$2:$A$721,'Cleaned Data'!$B$2:$B$721)</f>
        <v>Ibrahim Nwosu</v>
      </c>
      <c r="C106" s="4">
        <f>AVERAGEIFS('Cleaned Data'!$M$2:$M$721,'Cleaned Data'!$A$2:$A$721,A106,'Cleaned Data'!$E$2:$E$721,"First Term")</f>
        <v>43.833333333333336</v>
      </c>
      <c r="D106" s="4">
        <f>AVERAGEIFS('Cleaned Data'!$M$2:$M$721,'Cleaned Data'!$A$2:$A$721,A106,'Cleaned Data'!$E$2:$E$721,"Third Term")</f>
        <v>67.666666666666671</v>
      </c>
      <c r="E106" s="4">
        <f t="shared" si="3"/>
        <v>23.833333333333336</v>
      </c>
      <c r="F106" t="str">
        <f t="shared" si="4"/>
        <v>Improved</v>
      </c>
    </row>
    <row r="107" spans="1:6" x14ac:dyDescent="0.35">
      <c r="A107" s="9" t="s">
        <v>312</v>
      </c>
      <c r="B107" t="str">
        <f>_xlfn.XLOOKUP(A107,'Cleaned Data'!$A$2:$A$721,'Cleaned Data'!$B$2:$B$721)</f>
        <v>Mercy Ibrahim</v>
      </c>
      <c r="C107" s="4">
        <f>AVERAGEIFS('Cleaned Data'!$M$2:$M$721,'Cleaned Data'!$A$2:$A$721,A107,'Cleaned Data'!$E$2:$E$721,"First Term")</f>
        <v>53</v>
      </c>
      <c r="D107" s="4">
        <f>AVERAGEIFS('Cleaned Data'!$M$2:$M$721,'Cleaned Data'!$A$2:$A$721,A107,'Cleaned Data'!$E$2:$E$721,"Third Term")</f>
        <v>49</v>
      </c>
      <c r="E107" s="4">
        <f t="shared" si="3"/>
        <v>-4</v>
      </c>
      <c r="F107" t="str">
        <f t="shared" si="4"/>
        <v>Dropped</v>
      </c>
    </row>
    <row r="108" spans="1:6" x14ac:dyDescent="0.35">
      <c r="A108" s="8" t="s">
        <v>315</v>
      </c>
      <c r="B108" t="str">
        <f>_xlfn.XLOOKUP(A108,'Cleaned Data'!$A$2:$A$721,'Cleaned Data'!$B$2:$B$721)</f>
        <v>Peter Ezeh</v>
      </c>
      <c r="C108" s="4">
        <f>AVERAGEIFS('Cleaned Data'!$M$2:$M$721,'Cleaned Data'!$A$2:$A$721,A108,'Cleaned Data'!$E$2:$E$721,"First Term")</f>
        <v>72.333333333333329</v>
      </c>
      <c r="D108" s="4">
        <f>AVERAGEIFS('Cleaned Data'!$M$2:$M$721,'Cleaned Data'!$A$2:$A$721,A108,'Cleaned Data'!$E$2:$E$721,"Third Term")</f>
        <v>76</v>
      </c>
      <c r="E108" s="4">
        <f t="shared" si="3"/>
        <v>3.6666666666666714</v>
      </c>
      <c r="F108" t="str">
        <f t="shared" si="4"/>
        <v>Improved</v>
      </c>
    </row>
    <row r="109" spans="1:6" x14ac:dyDescent="0.35">
      <c r="A109" s="9" t="s">
        <v>318</v>
      </c>
      <c r="B109" t="str">
        <f>_xlfn.XLOOKUP(A109,'Cleaned Data'!$A$2:$A$721,'Cleaned Data'!$B$2:$B$721)</f>
        <v>Segun Aliyu</v>
      </c>
      <c r="C109" s="4">
        <f>AVERAGEIFS('Cleaned Data'!$M$2:$M$721,'Cleaned Data'!$A$2:$A$721,A109,'Cleaned Data'!$E$2:$E$721,"First Term")</f>
        <v>47.333333333333336</v>
      </c>
      <c r="D109" s="4">
        <f>AVERAGEIFS('Cleaned Data'!$M$2:$M$721,'Cleaned Data'!$A$2:$A$721,A109,'Cleaned Data'!$E$2:$E$721,"Third Term")</f>
        <v>56.5</v>
      </c>
      <c r="E109" s="4">
        <f t="shared" si="3"/>
        <v>9.1666666666666643</v>
      </c>
      <c r="F109" t="str">
        <f t="shared" si="4"/>
        <v>Improved</v>
      </c>
    </row>
    <row r="110" spans="1:6" x14ac:dyDescent="0.35">
      <c r="A110" s="8" t="s">
        <v>320</v>
      </c>
      <c r="B110" t="str">
        <f>_xlfn.XLOOKUP(A110,'Cleaned Data'!$A$2:$A$721,'Cleaned Data'!$B$2:$B$721)</f>
        <v>Seun Ogbonna</v>
      </c>
      <c r="C110" s="4">
        <f>AVERAGEIFS('Cleaned Data'!$M$2:$M$721,'Cleaned Data'!$A$2:$A$721,A110,'Cleaned Data'!$E$2:$E$721,"First Term")</f>
        <v>65</v>
      </c>
      <c r="D110" s="4">
        <f>AVERAGEIFS('Cleaned Data'!$M$2:$M$721,'Cleaned Data'!$A$2:$A$721,A110,'Cleaned Data'!$E$2:$E$721,"Third Term")</f>
        <v>69.333333333333329</v>
      </c>
      <c r="E110" s="4">
        <f t="shared" si="3"/>
        <v>4.3333333333333286</v>
      </c>
      <c r="F110" t="str">
        <f t="shared" si="4"/>
        <v>Improved</v>
      </c>
    </row>
    <row r="111" spans="1:6" x14ac:dyDescent="0.35">
      <c r="A111" s="9" t="s">
        <v>322</v>
      </c>
      <c r="B111" t="str">
        <f>_xlfn.XLOOKUP(A111,'Cleaned Data'!$A$2:$A$721,'Cleaned Data'!$B$2:$B$721)</f>
        <v>Ayodele Yakubu</v>
      </c>
      <c r="C111" s="4">
        <f>AVERAGEIFS('Cleaned Data'!$M$2:$M$721,'Cleaned Data'!$A$2:$A$721,A111,'Cleaned Data'!$E$2:$E$721,"First Term")</f>
        <v>73.333333333333329</v>
      </c>
      <c r="D111" s="4">
        <f>AVERAGEIFS('Cleaned Data'!$M$2:$M$721,'Cleaned Data'!$A$2:$A$721,A111,'Cleaned Data'!$E$2:$E$721,"Third Term")</f>
        <v>82.166666666666671</v>
      </c>
      <c r="E111" s="4">
        <f t="shared" si="3"/>
        <v>8.8333333333333428</v>
      </c>
      <c r="F111" t="str">
        <f t="shared" si="4"/>
        <v>Improved</v>
      </c>
    </row>
    <row r="112" spans="1:6" x14ac:dyDescent="0.35">
      <c r="A112" s="8" t="s">
        <v>324</v>
      </c>
      <c r="B112" t="str">
        <f>_xlfn.XLOOKUP(A112,'Cleaned Data'!$A$2:$A$721,'Cleaned Data'!$B$2:$B$721)</f>
        <v>Peter Nwankwo</v>
      </c>
      <c r="C112" s="4">
        <f>AVERAGEIFS('Cleaned Data'!$M$2:$M$721,'Cleaned Data'!$A$2:$A$721,A112,'Cleaned Data'!$E$2:$E$721,"First Term")</f>
        <v>74</v>
      </c>
      <c r="D112" s="4">
        <f>AVERAGEIFS('Cleaned Data'!$M$2:$M$721,'Cleaned Data'!$A$2:$A$721,A112,'Cleaned Data'!$E$2:$E$721,"Third Term")</f>
        <v>88.666666666666671</v>
      </c>
      <c r="E112" s="4">
        <f t="shared" si="3"/>
        <v>14.666666666666671</v>
      </c>
      <c r="F112" t="str">
        <f t="shared" si="4"/>
        <v>Improved</v>
      </c>
    </row>
    <row r="113" spans="1:6" x14ac:dyDescent="0.35">
      <c r="A113" s="9" t="s">
        <v>326</v>
      </c>
      <c r="B113" t="str">
        <f>_xlfn.XLOOKUP(A113,'Cleaned Data'!$A$2:$A$721,'Cleaned Data'!$B$2:$B$721)</f>
        <v>Fatima Garba</v>
      </c>
      <c r="C113" s="4">
        <f>AVERAGEIFS('Cleaned Data'!$M$2:$M$721,'Cleaned Data'!$A$2:$A$721,A113,'Cleaned Data'!$E$2:$E$721,"First Term")</f>
        <v>74.5</v>
      </c>
      <c r="D113" s="4">
        <f>AVERAGEIFS('Cleaned Data'!$M$2:$M$721,'Cleaned Data'!$A$2:$A$721,A113,'Cleaned Data'!$E$2:$E$721,"Third Term")</f>
        <v>80.333333333333329</v>
      </c>
      <c r="E113" s="4">
        <f t="shared" si="3"/>
        <v>5.8333333333333286</v>
      </c>
      <c r="F113" t="str">
        <f t="shared" si="4"/>
        <v>Improved</v>
      </c>
    </row>
    <row r="114" spans="1:6" x14ac:dyDescent="0.35">
      <c r="A114" s="8" t="s">
        <v>328</v>
      </c>
      <c r="B114" t="str">
        <f>_xlfn.XLOOKUP(A114,'Cleaned Data'!$A$2:$A$721,'Cleaned Data'!$B$2:$B$721)</f>
        <v>Kelechi Okonkwo</v>
      </c>
      <c r="C114" s="4">
        <f>AVERAGEIFS('Cleaned Data'!$M$2:$M$721,'Cleaned Data'!$A$2:$A$721,A114,'Cleaned Data'!$E$2:$E$721,"First Term")</f>
        <v>46.333333333333336</v>
      </c>
      <c r="D114" s="4">
        <f>AVERAGEIFS('Cleaned Data'!$M$2:$M$721,'Cleaned Data'!$A$2:$A$721,A114,'Cleaned Data'!$E$2:$E$721,"Third Term")</f>
        <v>62.833333333333336</v>
      </c>
      <c r="E114" s="4">
        <f t="shared" si="3"/>
        <v>16.5</v>
      </c>
      <c r="F114" t="str">
        <f t="shared" si="4"/>
        <v>Improved</v>
      </c>
    </row>
    <row r="115" spans="1:6" x14ac:dyDescent="0.35">
      <c r="A115" s="9" t="s">
        <v>331</v>
      </c>
      <c r="B115" t="str">
        <f>_xlfn.XLOOKUP(A115,'Cleaned Data'!$A$2:$A$721,'Cleaned Data'!$B$2:$B$721)</f>
        <v>Ngozi Yakubu</v>
      </c>
      <c r="C115" s="4">
        <f>AVERAGEIFS('Cleaned Data'!$M$2:$M$721,'Cleaned Data'!$A$2:$A$721,A115,'Cleaned Data'!$E$2:$E$721,"First Term")</f>
        <v>51.833333333333336</v>
      </c>
      <c r="D115" s="4">
        <f>AVERAGEIFS('Cleaned Data'!$M$2:$M$721,'Cleaned Data'!$A$2:$A$721,A115,'Cleaned Data'!$E$2:$E$721,"Third Term")</f>
        <v>51.166666666666664</v>
      </c>
      <c r="E115" s="4">
        <f t="shared" si="3"/>
        <v>-0.6666666666666714</v>
      </c>
      <c r="F115" t="str">
        <f t="shared" si="4"/>
        <v>Dropped</v>
      </c>
    </row>
    <row r="116" spans="1:6" x14ac:dyDescent="0.35">
      <c r="A116" s="8" t="s">
        <v>334</v>
      </c>
      <c r="B116" t="str">
        <f>_xlfn.XLOOKUP(A116,'Cleaned Data'!$A$2:$A$721,'Cleaned Data'!$B$2:$B$721)</f>
        <v>Amaka Hassan</v>
      </c>
      <c r="C116" s="4">
        <f>AVERAGEIFS('Cleaned Data'!$M$2:$M$721,'Cleaned Data'!$A$2:$A$721,A116,'Cleaned Data'!$E$2:$E$721,"First Term")</f>
        <v>47.833333333333336</v>
      </c>
      <c r="D116" s="4">
        <f>AVERAGEIFS('Cleaned Data'!$M$2:$M$721,'Cleaned Data'!$A$2:$A$721,A116,'Cleaned Data'!$E$2:$E$721,"Third Term")</f>
        <v>55.833333333333336</v>
      </c>
      <c r="E116" s="4">
        <f t="shared" si="3"/>
        <v>8</v>
      </c>
      <c r="F116" t="str">
        <f t="shared" si="4"/>
        <v>Improved</v>
      </c>
    </row>
    <row r="117" spans="1:6" x14ac:dyDescent="0.35">
      <c r="A117" s="9" t="s">
        <v>336</v>
      </c>
      <c r="B117" t="str">
        <f>_xlfn.XLOOKUP(A117,'Cleaned Data'!$A$2:$A$721,'Cleaned Data'!$B$2:$B$721)</f>
        <v>Chinedu Bello</v>
      </c>
      <c r="C117" s="4">
        <f>AVERAGEIFS('Cleaned Data'!$M$2:$M$721,'Cleaned Data'!$A$2:$A$721,A117,'Cleaned Data'!$E$2:$E$721,"First Term")</f>
        <v>66.166666666666671</v>
      </c>
      <c r="D117" s="4">
        <f>AVERAGEIFS('Cleaned Data'!$M$2:$M$721,'Cleaned Data'!$A$2:$A$721,A117,'Cleaned Data'!$E$2:$E$721,"Third Term")</f>
        <v>66.5</v>
      </c>
      <c r="E117" s="4">
        <f t="shared" si="3"/>
        <v>0.3333333333333286</v>
      </c>
      <c r="F117" t="str">
        <f t="shared" si="4"/>
        <v>Improved</v>
      </c>
    </row>
    <row r="118" spans="1:6" x14ac:dyDescent="0.35">
      <c r="A118" s="8" t="s">
        <v>339</v>
      </c>
      <c r="B118" t="str">
        <f>_xlfn.XLOOKUP(A118,'Cleaned Data'!$A$2:$A$721,'Cleaned Data'!$B$2:$B$721)</f>
        <v>Esther Adebayo</v>
      </c>
      <c r="C118" s="4">
        <f>AVERAGEIFS('Cleaned Data'!$M$2:$M$721,'Cleaned Data'!$A$2:$A$721,A118,'Cleaned Data'!$E$2:$E$721,"First Term")</f>
        <v>69.5</v>
      </c>
      <c r="D118" s="4">
        <f>AVERAGEIFS('Cleaned Data'!$M$2:$M$721,'Cleaned Data'!$A$2:$A$721,A118,'Cleaned Data'!$E$2:$E$721,"Third Term")</f>
        <v>80.5</v>
      </c>
      <c r="E118" s="4">
        <f t="shared" si="3"/>
        <v>11</v>
      </c>
      <c r="F118" t="str">
        <f t="shared" si="4"/>
        <v>Improved</v>
      </c>
    </row>
    <row r="119" spans="1:6" x14ac:dyDescent="0.35">
      <c r="A119" s="9" t="s">
        <v>342</v>
      </c>
      <c r="B119" t="str">
        <f>_xlfn.XLOOKUP(A119,'Cleaned Data'!$A$2:$A$721,'Cleaned Data'!$B$2:$B$721)</f>
        <v>Ngozi Nnadi</v>
      </c>
      <c r="C119" s="4">
        <f>AVERAGEIFS('Cleaned Data'!$M$2:$M$721,'Cleaned Data'!$A$2:$A$721,A119,'Cleaned Data'!$E$2:$E$721,"First Term")</f>
        <v>60.666666666666664</v>
      </c>
      <c r="D119" s="4">
        <f>AVERAGEIFS('Cleaned Data'!$M$2:$M$721,'Cleaned Data'!$A$2:$A$721,A119,'Cleaned Data'!$E$2:$E$721,"Third Term")</f>
        <v>53.166666666666664</v>
      </c>
      <c r="E119" s="4">
        <f t="shared" si="3"/>
        <v>-7.5</v>
      </c>
      <c r="F119" t="str">
        <f t="shared" si="4"/>
        <v>Dropped</v>
      </c>
    </row>
    <row r="120" spans="1:6" x14ac:dyDescent="0.35">
      <c r="A120" s="8" t="s">
        <v>345</v>
      </c>
      <c r="B120" t="str">
        <f>_xlfn.XLOOKUP(A120,'Cleaned Data'!$A$2:$A$721,'Cleaned Data'!$B$2:$B$721)</f>
        <v>Bisola Ogundipe</v>
      </c>
      <c r="C120" s="4">
        <f>AVERAGEIFS('Cleaned Data'!$M$2:$M$721,'Cleaned Data'!$A$2:$A$721,A120,'Cleaned Data'!$E$2:$E$721,"First Term")</f>
        <v>45.166666666666664</v>
      </c>
      <c r="D120" s="4">
        <f>AVERAGEIFS('Cleaned Data'!$M$2:$M$721,'Cleaned Data'!$A$2:$A$721,A120,'Cleaned Data'!$E$2:$E$721,"Third Term")</f>
        <v>43.166666666666664</v>
      </c>
      <c r="E120" s="4">
        <f t="shared" si="3"/>
        <v>-2</v>
      </c>
      <c r="F120" t="str">
        <f t="shared" si="4"/>
        <v>Dropped</v>
      </c>
    </row>
    <row r="121" spans="1:6" x14ac:dyDescent="0.35">
      <c r="A121" s="9" t="s">
        <v>347</v>
      </c>
      <c r="B121" t="str">
        <f>_xlfn.XLOOKUP(A121,'Cleaned Data'!$A$2:$A$721,'Cleaned Data'!$B$2:$B$721)</f>
        <v>Wale Abubakar</v>
      </c>
      <c r="C121" s="4">
        <f>AVERAGEIFS('Cleaned Data'!$M$2:$M$721,'Cleaned Data'!$A$2:$A$721,A121,'Cleaned Data'!$E$2:$E$721,"First Term")</f>
        <v>43.833333333333336</v>
      </c>
      <c r="D121" s="4">
        <f>AVERAGEIFS('Cleaned Data'!$M$2:$M$721,'Cleaned Data'!$A$2:$A$721,A121,'Cleaned Data'!$E$2:$E$721,"Third Term")</f>
        <v>47.166666666666664</v>
      </c>
      <c r="E121" s="4">
        <f t="shared" si="3"/>
        <v>3.3333333333333286</v>
      </c>
      <c r="F121" t="str">
        <f t="shared" si="4"/>
        <v>Improved</v>
      </c>
    </row>
    <row r="122" spans="1:6" x14ac:dyDescent="0.35">
      <c r="A122" s="8" t="s">
        <v>349</v>
      </c>
      <c r="B122" t="str">
        <f>_xlfn.XLOOKUP(A122,'Cleaned Data'!$A$2:$A$721,'Cleaned Data'!$B$2:$B$721)</f>
        <v>Titilayo Ogunleye</v>
      </c>
      <c r="C122" s="4">
        <f>AVERAGEIFS('Cleaned Data'!$M$2:$M$721,'Cleaned Data'!$A$2:$A$721,A122,'Cleaned Data'!$E$2:$E$721,"First Term")</f>
        <v>57.666666666666664</v>
      </c>
      <c r="D122" s="4">
        <f>AVERAGEIFS('Cleaned Data'!$M$2:$M$721,'Cleaned Data'!$A$2:$A$721,A122,'Cleaned Data'!$E$2:$E$721,"Third Term")</f>
        <v>60.666666666666664</v>
      </c>
      <c r="E122" s="4">
        <f t="shared" si="3"/>
        <v>3</v>
      </c>
      <c r="F122" t="str">
        <f t="shared" si="4"/>
        <v>Improved</v>
      </c>
    </row>
    <row r="123" spans="1:6" x14ac:dyDescent="0.35">
      <c r="A123" s="9" t="s">
        <v>354</v>
      </c>
      <c r="B123" t="str">
        <f>_xlfn.XLOOKUP(A123,'Cleaned Data'!$A$2:$A$721,'Cleaned Data'!$B$2:$B$721)</f>
        <v>Michael Afolabi</v>
      </c>
      <c r="C123" s="4">
        <f>AVERAGEIFS('Cleaned Data'!$M$2:$M$721,'Cleaned Data'!$A$2:$A$721,A123,'Cleaned Data'!$E$2:$E$721,"First Term")</f>
        <v>59.5</v>
      </c>
      <c r="D123" s="4">
        <f>AVERAGEIFS('Cleaned Data'!$M$2:$M$721,'Cleaned Data'!$A$2:$A$721,A123,'Cleaned Data'!$E$2:$E$721,"Third Term")</f>
        <v>53.833333333333336</v>
      </c>
      <c r="E123" s="4">
        <f t="shared" si="3"/>
        <v>-5.6666666666666643</v>
      </c>
      <c r="F123" t="str">
        <f t="shared" si="4"/>
        <v>Dropped</v>
      </c>
    </row>
    <row r="124" spans="1:6" x14ac:dyDescent="0.35">
      <c r="A124" s="8" t="s">
        <v>357</v>
      </c>
      <c r="B124" t="str">
        <f>_xlfn.XLOOKUP(A124,'Cleaned Data'!$A$2:$A$721,'Cleaned Data'!$B$2:$B$721)</f>
        <v>Chiamaka Nnadi</v>
      </c>
      <c r="C124" s="4">
        <f>AVERAGEIFS('Cleaned Data'!$M$2:$M$721,'Cleaned Data'!$A$2:$A$721,A124,'Cleaned Data'!$E$2:$E$721,"First Term")</f>
        <v>43.666666666666664</v>
      </c>
      <c r="D124" s="4">
        <f>AVERAGEIFS('Cleaned Data'!$M$2:$M$721,'Cleaned Data'!$A$2:$A$721,A124,'Cleaned Data'!$E$2:$E$721,"Third Term")</f>
        <v>57.833333333333336</v>
      </c>
      <c r="E124" s="4">
        <f t="shared" si="3"/>
        <v>14.166666666666671</v>
      </c>
      <c r="F124" t="str">
        <f t="shared" si="4"/>
        <v>Improved</v>
      </c>
    </row>
    <row r="125" spans="1:6" x14ac:dyDescent="0.35">
      <c r="A125" s="9" t="s">
        <v>359</v>
      </c>
      <c r="B125" t="str">
        <f>_xlfn.XLOOKUP(A125,'Cleaned Data'!$A$2:$A$721,'Cleaned Data'!$B$2:$B$721)</f>
        <v>Dayo Akinola</v>
      </c>
      <c r="C125" s="4">
        <f>AVERAGEIFS('Cleaned Data'!$M$2:$M$721,'Cleaned Data'!$A$2:$A$721,A125,'Cleaned Data'!$E$2:$E$721,"First Term")</f>
        <v>65.666666666666671</v>
      </c>
      <c r="D125" s="4">
        <f>AVERAGEIFS('Cleaned Data'!$M$2:$M$721,'Cleaned Data'!$A$2:$A$721,A125,'Cleaned Data'!$E$2:$E$721,"Third Term")</f>
        <v>69.666666666666671</v>
      </c>
      <c r="E125" s="4">
        <f t="shared" si="3"/>
        <v>4</v>
      </c>
      <c r="F125" t="str">
        <f t="shared" si="4"/>
        <v>Improved</v>
      </c>
    </row>
    <row r="126" spans="1:6" x14ac:dyDescent="0.35">
      <c r="A126" s="8" t="s">
        <v>362</v>
      </c>
      <c r="B126" t="str">
        <f>_xlfn.XLOOKUP(A126,'Cleaned Data'!$A$2:$A$721,'Cleaned Data'!$B$2:$B$721)</f>
        <v>Aisha Ogbonna</v>
      </c>
      <c r="C126" s="4">
        <f>AVERAGEIFS('Cleaned Data'!$M$2:$M$721,'Cleaned Data'!$A$2:$A$721,A126,'Cleaned Data'!$E$2:$E$721,"First Term")</f>
        <v>76.166666666666671</v>
      </c>
      <c r="D126" s="4">
        <f>AVERAGEIFS('Cleaned Data'!$M$2:$M$721,'Cleaned Data'!$A$2:$A$721,A126,'Cleaned Data'!$E$2:$E$721,"Third Term")</f>
        <v>75.833333333333329</v>
      </c>
      <c r="E126" s="4">
        <f t="shared" si="3"/>
        <v>-0.33333333333334281</v>
      </c>
      <c r="F126" t="str">
        <f t="shared" si="4"/>
        <v>Dropped</v>
      </c>
    </row>
    <row r="127" spans="1:6" x14ac:dyDescent="0.35">
      <c r="A127" s="9" t="s">
        <v>364</v>
      </c>
      <c r="B127" t="str">
        <f>_xlfn.XLOOKUP(A127,'Cleaned Data'!$A$2:$A$721,'Cleaned Data'!$B$2:$B$721)</f>
        <v>Seun Johnson</v>
      </c>
      <c r="C127" s="4">
        <f>AVERAGEIFS('Cleaned Data'!$M$2:$M$721,'Cleaned Data'!$A$2:$A$721,A127,'Cleaned Data'!$E$2:$E$721,"First Term")</f>
        <v>55.166666666666664</v>
      </c>
      <c r="D127" s="4">
        <f>AVERAGEIFS('Cleaned Data'!$M$2:$M$721,'Cleaned Data'!$A$2:$A$721,A127,'Cleaned Data'!$E$2:$E$721,"Third Term")</f>
        <v>58.333333333333336</v>
      </c>
      <c r="E127" s="4">
        <f t="shared" si="3"/>
        <v>3.1666666666666714</v>
      </c>
      <c r="F127" t="str">
        <f t="shared" si="4"/>
        <v>Improved</v>
      </c>
    </row>
    <row r="128" spans="1:6" x14ac:dyDescent="0.35">
      <c r="A128" s="8" t="s">
        <v>367</v>
      </c>
      <c r="B128" t="str">
        <f>_xlfn.XLOOKUP(A128,'Cleaned Data'!$A$2:$A$721,'Cleaned Data'!$B$2:$B$721)</f>
        <v>Joy Bello</v>
      </c>
      <c r="C128" s="4">
        <f>AVERAGEIFS('Cleaned Data'!$M$2:$M$721,'Cleaned Data'!$A$2:$A$721,A128,'Cleaned Data'!$E$2:$E$721,"First Term")</f>
        <v>27.666666666666668</v>
      </c>
      <c r="D128" s="4">
        <f>AVERAGEIFS('Cleaned Data'!$M$2:$M$721,'Cleaned Data'!$A$2:$A$721,A128,'Cleaned Data'!$E$2:$E$721,"Third Term")</f>
        <v>45.166666666666664</v>
      </c>
      <c r="E128" s="4">
        <f t="shared" si="3"/>
        <v>17.499999999999996</v>
      </c>
      <c r="F128" t="str">
        <f t="shared" si="4"/>
        <v>Improved</v>
      </c>
    </row>
    <row r="129" spans="1:6" x14ac:dyDescent="0.35">
      <c r="A129" s="9" t="s">
        <v>369</v>
      </c>
      <c r="B129" t="str">
        <f>_xlfn.XLOOKUP(A129,'Cleaned Data'!$A$2:$A$721,'Cleaned Data'!$B$2:$B$721)</f>
        <v>Adesua Aliyu</v>
      </c>
      <c r="C129" s="4">
        <f>AVERAGEIFS('Cleaned Data'!$M$2:$M$721,'Cleaned Data'!$A$2:$A$721,A129,'Cleaned Data'!$E$2:$E$721,"First Term")</f>
        <v>62.333333333333336</v>
      </c>
      <c r="D129" s="4">
        <f>AVERAGEIFS('Cleaned Data'!$M$2:$M$721,'Cleaned Data'!$A$2:$A$721,A129,'Cleaned Data'!$E$2:$E$721,"Third Term")</f>
        <v>60.333333333333336</v>
      </c>
      <c r="E129" s="4">
        <f t="shared" si="3"/>
        <v>-2</v>
      </c>
      <c r="F129" t="str">
        <f t="shared" si="4"/>
        <v>Dropped</v>
      </c>
    </row>
    <row r="130" spans="1:6" x14ac:dyDescent="0.35">
      <c r="A130" s="8" t="s">
        <v>372</v>
      </c>
      <c r="B130" t="str">
        <f>_xlfn.XLOOKUP(A130,'Cleaned Data'!$A$2:$A$721,'Cleaned Data'!$B$2:$B$721)</f>
        <v>Dare Musa</v>
      </c>
      <c r="C130" s="4">
        <f>AVERAGEIFS('Cleaned Data'!$M$2:$M$721,'Cleaned Data'!$A$2:$A$721,A130,'Cleaned Data'!$E$2:$E$721,"First Term")</f>
        <v>83.833333333333329</v>
      </c>
      <c r="D130" s="4">
        <f>AVERAGEIFS('Cleaned Data'!$M$2:$M$721,'Cleaned Data'!$A$2:$A$721,A130,'Cleaned Data'!$E$2:$E$721,"Third Term")</f>
        <v>93.5</v>
      </c>
      <c r="E130" s="4">
        <f t="shared" ref="E130:E193" si="5">D130-C130</f>
        <v>9.6666666666666714</v>
      </c>
      <c r="F130" t="str">
        <f t="shared" ref="F130:F193" si="6">IF(E130&gt;0,"Improved",IF(E130&lt;0,"Dropped","Unchanged"))</f>
        <v>Improved</v>
      </c>
    </row>
    <row r="131" spans="1:6" x14ac:dyDescent="0.35">
      <c r="A131" s="9" t="s">
        <v>375</v>
      </c>
      <c r="B131" t="str">
        <f>_xlfn.XLOOKUP(A131,'Cleaned Data'!$A$2:$A$721,'Cleaned Data'!$B$2:$B$721)</f>
        <v>Segun Uzor</v>
      </c>
      <c r="C131" s="4">
        <f>AVERAGEIFS('Cleaned Data'!$M$2:$M$721,'Cleaned Data'!$A$2:$A$721,A131,'Cleaned Data'!$E$2:$E$721,"First Term")</f>
        <v>62.333333333333336</v>
      </c>
      <c r="D131" s="4">
        <f>AVERAGEIFS('Cleaned Data'!$M$2:$M$721,'Cleaned Data'!$A$2:$A$721,A131,'Cleaned Data'!$E$2:$E$721,"Third Term")</f>
        <v>65</v>
      </c>
      <c r="E131" s="4">
        <f t="shared" si="5"/>
        <v>2.6666666666666643</v>
      </c>
      <c r="F131" t="str">
        <f t="shared" si="6"/>
        <v>Improved</v>
      </c>
    </row>
    <row r="132" spans="1:6" x14ac:dyDescent="0.35">
      <c r="A132" s="8" t="s">
        <v>377</v>
      </c>
      <c r="B132" t="str">
        <f>_xlfn.XLOOKUP(A132,'Cleaned Data'!$A$2:$A$721,'Cleaned Data'!$B$2:$B$721)</f>
        <v>Chiamaka Balogun</v>
      </c>
      <c r="C132" s="4">
        <f>AVERAGEIFS('Cleaned Data'!$M$2:$M$721,'Cleaned Data'!$A$2:$A$721,A132,'Cleaned Data'!$E$2:$E$721,"First Term")</f>
        <v>65.166666666666671</v>
      </c>
      <c r="D132" s="4">
        <f>AVERAGEIFS('Cleaned Data'!$M$2:$M$721,'Cleaned Data'!$A$2:$A$721,A132,'Cleaned Data'!$E$2:$E$721,"Third Term")</f>
        <v>47.833333333333336</v>
      </c>
      <c r="E132" s="4">
        <f t="shared" si="5"/>
        <v>-17.333333333333336</v>
      </c>
      <c r="F132" t="str">
        <f t="shared" si="6"/>
        <v>Dropped</v>
      </c>
    </row>
    <row r="133" spans="1:6" x14ac:dyDescent="0.35">
      <c r="A133" s="9" t="s">
        <v>382</v>
      </c>
      <c r="B133" t="str">
        <f>_xlfn.XLOOKUP(A133,'Cleaned Data'!$A$2:$A$721,'Cleaned Data'!$B$2:$B$721)</f>
        <v>Ifeanyi Ogunleye</v>
      </c>
      <c r="C133" s="4">
        <f>AVERAGEIFS('Cleaned Data'!$M$2:$M$721,'Cleaned Data'!$A$2:$A$721,A133,'Cleaned Data'!$E$2:$E$721,"First Term")</f>
        <v>66.5</v>
      </c>
      <c r="D133" s="4">
        <f>AVERAGEIFS('Cleaned Data'!$M$2:$M$721,'Cleaned Data'!$A$2:$A$721,A133,'Cleaned Data'!$E$2:$E$721,"Third Term")</f>
        <v>68.333333333333329</v>
      </c>
      <c r="E133" s="4">
        <f t="shared" si="5"/>
        <v>1.8333333333333286</v>
      </c>
      <c r="F133" t="str">
        <f t="shared" si="6"/>
        <v>Improved</v>
      </c>
    </row>
    <row r="134" spans="1:6" x14ac:dyDescent="0.35">
      <c r="A134" s="8" t="s">
        <v>386</v>
      </c>
      <c r="B134" t="str">
        <f>_xlfn.XLOOKUP(A134,'Cleaned Data'!$A$2:$A$721,'Cleaned Data'!$B$2:$B$721)</f>
        <v>Ifeanyi Ogundipe</v>
      </c>
      <c r="C134" s="4">
        <f>AVERAGEIFS('Cleaned Data'!$M$2:$M$721,'Cleaned Data'!$A$2:$A$721,A134,'Cleaned Data'!$E$2:$E$721,"First Term")</f>
        <v>63.166666666666664</v>
      </c>
      <c r="D134" s="4">
        <f>AVERAGEIFS('Cleaned Data'!$M$2:$M$721,'Cleaned Data'!$A$2:$A$721,A134,'Cleaned Data'!$E$2:$E$721,"Third Term")</f>
        <v>71</v>
      </c>
      <c r="E134" s="4">
        <f t="shared" si="5"/>
        <v>7.8333333333333357</v>
      </c>
      <c r="F134" t="str">
        <f t="shared" si="6"/>
        <v>Improved</v>
      </c>
    </row>
    <row r="135" spans="1:6" x14ac:dyDescent="0.35">
      <c r="A135" s="9" t="s">
        <v>389</v>
      </c>
      <c r="B135" t="str">
        <f>_xlfn.XLOOKUP(A135,'Cleaned Data'!$A$2:$A$721,'Cleaned Data'!$B$2:$B$721)</f>
        <v>Nnamdi Obi</v>
      </c>
      <c r="C135" s="4">
        <f>AVERAGEIFS('Cleaned Data'!$M$2:$M$721,'Cleaned Data'!$A$2:$A$721,A135,'Cleaned Data'!$E$2:$E$721,"First Term")</f>
        <v>66.333333333333329</v>
      </c>
      <c r="D135" s="4">
        <f>AVERAGEIFS('Cleaned Data'!$M$2:$M$721,'Cleaned Data'!$A$2:$A$721,A135,'Cleaned Data'!$E$2:$E$721,"Third Term")</f>
        <v>64.666666666666671</v>
      </c>
      <c r="E135" s="4">
        <f t="shared" si="5"/>
        <v>-1.6666666666666572</v>
      </c>
      <c r="F135" t="str">
        <f t="shared" si="6"/>
        <v>Dropped</v>
      </c>
    </row>
    <row r="136" spans="1:6" x14ac:dyDescent="0.35">
      <c r="A136" s="8" t="s">
        <v>391</v>
      </c>
      <c r="B136" t="str">
        <f>_xlfn.XLOOKUP(A136,'Cleaned Data'!$A$2:$A$721,'Cleaned Data'!$B$2:$B$721)</f>
        <v>Yetunde Okonkwo</v>
      </c>
      <c r="C136" s="4">
        <f>AVERAGEIFS('Cleaned Data'!$M$2:$M$721,'Cleaned Data'!$A$2:$A$721,A136,'Cleaned Data'!$E$2:$E$721,"First Term")</f>
        <v>61.666666666666664</v>
      </c>
      <c r="D136" s="4">
        <f>AVERAGEIFS('Cleaned Data'!$M$2:$M$721,'Cleaned Data'!$A$2:$A$721,A136,'Cleaned Data'!$E$2:$E$721,"Third Term")</f>
        <v>61.666666666666664</v>
      </c>
      <c r="E136" s="4">
        <f t="shared" si="5"/>
        <v>0</v>
      </c>
      <c r="F136" t="str">
        <f t="shared" si="6"/>
        <v>Unchanged</v>
      </c>
    </row>
    <row r="137" spans="1:6" x14ac:dyDescent="0.35">
      <c r="A137" s="9" t="s">
        <v>393</v>
      </c>
      <c r="B137" t="str">
        <f>_xlfn.XLOOKUP(A137,'Cleaned Data'!$A$2:$A$721,'Cleaned Data'!$B$2:$B$721)</f>
        <v>Sade Hassan</v>
      </c>
      <c r="C137" s="4">
        <f>AVERAGEIFS('Cleaned Data'!$M$2:$M$721,'Cleaned Data'!$A$2:$A$721,A137,'Cleaned Data'!$E$2:$E$721,"First Term")</f>
        <v>63</v>
      </c>
      <c r="D137" s="4">
        <f>AVERAGEIFS('Cleaned Data'!$M$2:$M$721,'Cleaned Data'!$A$2:$A$721,A137,'Cleaned Data'!$E$2:$E$721,"Third Term")</f>
        <v>83.833333333333329</v>
      </c>
      <c r="E137" s="4">
        <f t="shared" si="5"/>
        <v>20.833333333333329</v>
      </c>
      <c r="F137" t="str">
        <f t="shared" si="6"/>
        <v>Improved</v>
      </c>
    </row>
    <row r="138" spans="1:6" x14ac:dyDescent="0.35">
      <c r="A138" s="8" t="s">
        <v>397</v>
      </c>
      <c r="B138" t="str">
        <f>_xlfn.XLOOKUP(A138,'Cleaned Data'!$A$2:$A$721,'Cleaned Data'!$B$2:$B$721)</f>
        <v>Wuraola Eke</v>
      </c>
      <c r="C138" s="4">
        <f>AVERAGEIFS('Cleaned Data'!$M$2:$M$721,'Cleaned Data'!$A$2:$A$721,A138,'Cleaned Data'!$E$2:$E$721,"First Term")</f>
        <v>72</v>
      </c>
      <c r="D138" s="4">
        <f>AVERAGEIFS('Cleaned Data'!$M$2:$M$721,'Cleaned Data'!$A$2:$A$721,A138,'Cleaned Data'!$E$2:$E$721,"Third Term")</f>
        <v>78.666666666666671</v>
      </c>
      <c r="E138" s="4">
        <f t="shared" si="5"/>
        <v>6.6666666666666714</v>
      </c>
      <c r="F138" t="str">
        <f t="shared" si="6"/>
        <v>Improved</v>
      </c>
    </row>
    <row r="139" spans="1:6" x14ac:dyDescent="0.35">
      <c r="A139" s="9" t="s">
        <v>399</v>
      </c>
      <c r="B139" t="str">
        <f>_xlfn.XLOOKUP(A139,'Cleaned Data'!$A$2:$A$721,'Cleaned Data'!$B$2:$B$721)</f>
        <v>Seun Obi</v>
      </c>
      <c r="C139" s="4">
        <f>AVERAGEIFS('Cleaned Data'!$M$2:$M$721,'Cleaned Data'!$A$2:$A$721,A139,'Cleaned Data'!$E$2:$E$721,"First Term")</f>
        <v>45.166666666666664</v>
      </c>
      <c r="D139" s="4">
        <f>AVERAGEIFS('Cleaned Data'!$M$2:$M$721,'Cleaned Data'!$A$2:$A$721,A139,'Cleaned Data'!$E$2:$E$721,"Third Term")</f>
        <v>46</v>
      </c>
      <c r="E139" s="4">
        <f t="shared" si="5"/>
        <v>0.8333333333333357</v>
      </c>
      <c r="F139" t="str">
        <f t="shared" si="6"/>
        <v>Improved</v>
      </c>
    </row>
    <row r="140" spans="1:6" x14ac:dyDescent="0.35">
      <c r="A140" s="8" t="s">
        <v>401</v>
      </c>
      <c r="B140" t="str">
        <f>_xlfn.XLOOKUP(A140,'Cleaned Data'!$A$2:$A$721,'Cleaned Data'!$B$2:$B$721)</f>
        <v>Khadija Okafor</v>
      </c>
      <c r="C140" s="4">
        <f>AVERAGEIFS('Cleaned Data'!$M$2:$M$721,'Cleaned Data'!$A$2:$A$721,A140,'Cleaned Data'!$E$2:$E$721,"First Term")</f>
        <v>44.5</v>
      </c>
      <c r="D140" s="4">
        <f>AVERAGEIFS('Cleaned Data'!$M$2:$M$721,'Cleaned Data'!$A$2:$A$721,A140,'Cleaned Data'!$E$2:$E$721,"Third Term")</f>
        <v>56.333333333333336</v>
      </c>
      <c r="E140" s="4">
        <f t="shared" si="5"/>
        <v>11.833333333333336</v>
      </c>
      <c r="F140" t="str">
        <f t="shared" si="6"/>
        <v>Improved</v>
      </c>
    </row>
    <row r="141" spans="1:6" x14ac:dyDescent="0.35">
      <c r="A141" s="9" t="s">
        <v>405</v>
      </c>
      <c r="B141" t="str">
        <f>_xlfn.XLOOKUP(A141,'Cleaned Data'!$A$2:$A$721,'Cleaned Data'!$B$2:$B$721)</f>
        <v>Dayo Mohammed</v>
      </c>
      <c r="C141" s="4">
        <f>AVERAGEIFS('Cleaned Data'!$M$2:$M$721,'Cleaned Data'!$A$2:$A$721,A141,'Cleaned Data'!$E$2:$E$721,"First Term")</f>
        <v>56.166666666666664</v>
      </c>
      <c r="D141" s="4">
        <f>AVERAGEIFS('Cleaned Data'!$M$2:$M$721,'Cleaned Data'!$A$2:$A$721,A141,'Cleaned Data'!$E$2:$E$721,"Third Term")</f>
        <v>63</v>
      </c>
      <c r="E141" s="4">
        <f t="shared" si="5"/>
        <v>6.8333333333333357</v>
      </c>
      <c r="F141" t="str">
        <f t="shared" si="6"/>
        <v>Improved</v>
      </c>
    </row>
    <row r="142" spans="1:6" x14ac:dyDescent="0.35">
      <c r="A142" s="8" t="s">
        <v>407</v>
      </c>
      <c r="B142" t="str">
        <f>_xlfn.XLOOKUP(A142,'Cleaned Data'!$A$2:$A$721,'Cleaned Data'!$B$2:$B$721)</f>
        <v>Funmilayo Ogbonna</v>
      </c>
      <c r="C142" s="4">
        <f>AVERAGEIFS('Cleaned Data'!$M$2:$M$721,'Cleaned Data'!$A$2:$A$721,A142,'Cleaned Data'!$E$2:$E$721,"First Term")</f>
        <v>53.333333333333336</v>
      </c>
      <c r="D142" s="4">
        <f>AVERAGEIFS('Cleaned Data'!$M$2:$M$721,'Cleaned Data'!$A$2:$A$721,A142,'Cleaned Data'!$E$2:$E$721,"Third Term")</f>
        <v>50</v>
      </c>
      <c r="E142" s="4">
        <f t="shared" si="5"/>
        <v>-3.3333333333333357</v>
      </c>
      <c r="F142" t="str">
        <f t="shared" si="6"/>
        <v>Dropped</v>
      </c>
    </row>
    <row r="143" spans="1:6" x14ac:dyDescent="0.35">
      <c r="A143" s="9" t="s">
        <v>409</v>
      </c>
      <c r="B143" t="str">
        <f>_xlfn.XLOOKUP(A143,'Cleaned Data'!$A$2:$A$721,'Cleaned Data'!$B$2:$B$721)</f>
        <v>Kemi Ibrahim</v>
      </c>
      <c r="C143" s="4">
        <f>AVERAGEIFS('Cleaned Data'!$M$2:$M$721,'Cleaned Data'!$A$2:$A$721,A143,'Cleaned Data'!$E$2:$E$721,"First Term")</f>
        <v>68.333333333333329</v>
      </c>
      <c r="D143" s="4">
        <f>AVERAGEIFS('Cleaned Data'!$M$2:$M$721,'Cleaned Data'!$A$2:$A$721,A143,'Cleaned Data'!$E$2:$E$721,"Third Term")</f>
        <v>74.666666666666671</v>
      </c>
      <c r="E143" s="4">
        <f t="shared" si="5"/>
        <v>6.3333333333333428</v>
      </c>
      <c r="F143" t="str">
        <f t="shared" si="6"/>
        <v>Improved</v>
      </c>
    </row>
    <row r="144" spans="1:6" x14ac:dyDescent="0.35">
      <c r="A144" s="8" t="s">
        <v>411</v>
      </c>
      <c r="B144" t="str">
        <f>_xlfn.XLOOKUP(A144,'Cleaned Data'!$A$2:$A$721,'Cleaned Data'!$B$2:$B$721)</f>
        <v>Tunde Okafor</v>
      </c>
      <c r="C144" s="4">
        <f>AVERAGEIFS('Cleaned Data'!$M$2:$M$721,'Cleaned Data'!$A$2:$A$721,A144,'Cleaned Data'!$E$2:$E$721,"First Term")</f>
        <v>58.833333333333336</v>
      </c>
      <c r="D144" s="4">
        <f>AVERAGEIFS('Cleaned Data'!$M$2:$M$721,'Cleaned Data'!$A$2:$A$721,A144,'Cleaned Data'!$E$2:$E$721,"Third Term")</f>
        <v>66</v>
      </c>
      <c r="E144" s="4">
        <f t="shared" si="5"/>
        <v>7.1666666666666643</v>
      </c>
      <c r="F144" t="str">
        <f t="shared" si="6"/>
        <v>Improved</v>
      </c>
    </row>
    <row r="145" spans="1:6" x14ac:dyDescent="0.35">
      <c r="A145" s="9" t="s">
        <v>413</v>
      </c>
      <c r="B145" t="str">
        <f>_xlfn.XLOOKUP(A145,'Cleaned Data'!$A$2:$A$721,'Cleaned Data'!$B$2:$B$721)</f>
        <v>Ugochukwu Adeyemi</v>
      </c>
      <c r="C145" s="4">
        <f>AVERAGEIFS('Cleaned Data'!$M$2:$M$721,'Cleaned Data'!$A$2:$A$721,A145,'Cleaned Data'!$E$2:$E$721,"First Term")</f>
        <v>64.666666666666671</v>
      </c>
      <c r="D145" s="4">
        <f>AVERAGEIFS('Cleaned Data'!$M$2:$M$721,'Cleaned Data'!$A$2:$A$721,A145,'Cleaned Data'!$E$2:$E$721,"Third Term")</f>
        <v>69.5</v>
      </c>
      <c r="E145" s="4">
        <f t="shared" si="5"/>
        <v>4.8333333333333286</v>
      </c>
      <c r="F145" t="str">
        <f t="shared" si="6"/>
        <v>Improved</v>
      </c>
    </row>
    <row r="146" spans="1:6" x14ac:dyDescent="0.35">
      <c r="A146" s="8" t="s">
        <v>415</v>
      </c>
      <c r="B146" t="str">
        <f>_xlfn.XLOOKUP(A146,'Cleaned Data'!$A$2:$A$721,'Cleaned Data'!$B$2:$B$721)</f>
        <v>Uchenna Johnson</v>
      </c>
      <c r="C146" s="4">
        <f>AVERAGEIFS('Cleaned Data'!$M$2:$M$721,'Cleaned Data'!$A$2:$A$721,A146,'Cleaned Data'!$E$2:$E$721,"First Term")</f>
        <v>47.666666666666664</v>
      </c>
      <c r="D146" s="4">
        <f>AVERAGEIFS('Cleaned Data'!$M$2:$M$721,'Cleaned Data'!$A$2:$A$721,A146,'Cleaned Data'!$E$2:$E$721,"Third Term")</f>
        <v>45.5</v>
      </c>
      <c r="E146" s="4">
        <f t="shared" si="5"/>
        <v>-2.1666666666666643</v>
      </c>
      <c r="F146" t="str">
        <f t="shared" si="6"/>
        <v>Dropped</v>
      </c>
    </row>
    <row r="147" spans="1:6" x14ac:dyDescent="0.35">
      <c r="A147" s="9" t="s">
        <v>419</v>
      </c>
      <c r="B147" t="str">
        <f>_xlfn.XLOOKUP(A147,'Cleaned Data'!$A$2:$A$721,'Cleaned Data'!$B$2:$B$721)</f>
        <v>Damilola Amadi</v>
      </c>
      <c r="C147" s="4">
        <f>AVERAGEIFS('Cleaned Data'!$M$2:$M$721,'Cleaned Data'!$A$2:$A$721,A147,'Cleaned Data'!$E$2:$E$721,"First Term")</f>
        <v>60.833333333333336</v>
      </c>
      <c r="D147" s="4">
        <f>AVERAGEIFS('Cleaned Data'!$M$2:$M$721,'Cleaned Data'!$A$2:$A$721,A147,'Cleaned Data'!$E$2:$E$721,"Third Term")</f>
        <v>60.666666666666664</v>
      </c>
      <c r="E147" s="4">
        <f t="shared" si="5"/>
        <v>-0.1666666666666714</v>
      </c>
      <c r="F147" t="str">
        <f t="shared" si="6"/>
        <v>Dropped</v>
      </c>
    </row>
    <row r="148" spans="1:6" x14ac:dyDescent="0.35">
      <c r="A148" s="8" t="s">
        <v>421</v>
      </c>
      <c r="B148" t="str">
        <f>_xlfn.XLOOKUP(A148,'Cleaned Data'!$A$2:$A$721,'Cleaned Data'!$B$2:$B$721)</f>
        <v>Garba Lawal</v>
      </c>
      <c r="C148" s="4">
        <f>AVERAGEIFS('Cleaned Data'!$M$2:$M$721,'Cleaned Data'!$A$2:$A$721,A148,'Cleaned Data'!$E$2:$E$721,"First Term")</f>
        <v>73</v>
      </c>
      <c r="D148" s="4">
        <f>AVERAGEIFS('Cleaned Data'!$M$2:$M$721,'Cleaned Data'!$A$2:$A$721,A148,'Cleaned Data'!$E$2:$E$721,"Third Term")</f>
        <v>68.166666666666671</v>
      </c>
      <c r="E148" s="4">
        <f t="shared" si="5"/>
        <v>-4.8333333333333286</v>
      </c>
      <c r="F148" t="str">
        <f t="shared" si="6"/>
        <v>Dropped</v>
      </c>
    </row>
    <row r="149" spans="1:6" x14ac:dyDescent="0.35">
      <c r="A149" s="9" t="s">
        <v>425</v>
      </c>
      <c r="B149" t="str">
        <f>_xlfn.XLOOKUP(A149,'Cleaned Data'!$A$2:$A$721,'Cleaned Data'!$B$2:$B$721)</f>
        <v>Femi Oladipo</v>
      </c>
      <c r="C149" s="4">
        <f>AVERAGEIFS('Cleaned Data'!$M$2:$M$721,'Cleaned Data'!$A$2:$A$721,A149,'Cleaned Data'!$E$2:$E$721,"First Term")</f>
        <v>55</v>
      </c>
      <c r="D149" s="4">
        <f>AVERAGEIFS('Cleaned Data'!$M$2:$M$721,'Cleaned Data'!$A$2:$A$721,A149,'Cleaned Data'!$E$2:$E$721,"Third Term")</f>
        <v>61.833333333333336</v>
      </c>
      <c r="E149" s="4">
        <f t="shared" si="5"/>
        <v>6.8333333333333357</v>
      </c>
      <c r="F149" t="str">
        <f t="shared" si="6"/>
        <v>Improved</v>
      </c>
    </row>
    <row r="150" spans="1:6" x14ac:dyDescent="0.35">
      <c r="A150" s="8" t="s">
        <v>427</v>
      </c>
      <c r="B150" t="str">
        <f>_xlfn.XLOOKUP(A150,'Cleaned Data'!$A$2:$A$721,'Cleaned Data'!$B$2:$B$721)</f>
        <v>Ifeanyi Ibrahim</v>
      </c>
      <c r="C150" s="4">
        <f>AVERAGEIFS('Cleaned Data'!$M$2:$M$721,'Cleaned Data'!$A$2:$A$721,A150,'Cleaned Data'!$E$2:$E$721,"First Term")</f>
        <v>66.5</v>
      </c>
      <c r="D150" s="4">
        <f>AVERAGEIFS('Cleaned Data'!$M$2:$M$721,'Cleaned Data'!$A$2:$A$721,A150,'Cleaned Data'!$E$2:$E$721,"Third Term")</f>
        <v>78.333333333333329</v>
      </c>
      <c r="E150" s="4">
        <f t="shared" si="5"/>
        <v>11.833333333333329</v>
      </c>
      <c r="F150" t="str">
        <f t="shared" si="6"/>
        <v>Improved</v>
      </c>
    </row>
    <row r="151" spans="1:6" x14ac:dyDescent="0.35">
      <c r="A151" s="9" t="s">
        <v>429</v>
      </c>
      <c r="B151" t="str">
        <f>_xlfn.XLOOKUP(A151,'Cleaned Data'!$A$2:$A$721,'Cleaned Data'!$B$2:$B$721)</f>
        <v>Comfort Kalu</v>
      </c>
      <c r="C151" s="4">
        <f>AVERAGEIFS('Cleaned Data'!$M$2:$M$721,'Cleaned Data'!$A$2:$A$721,A151,'Cleaned Data'!$E$2:$E$721,"First Term")</f>
        <v>50.833333333333336</v>
      </c>
      <c r="D151" s="4">
        <f>AVERAGEIFS('Cleaned Data'!$M$2:$M$721,'Cleaned Data'!$A$2:$A$721,A151,'Cleaned Data'!$E$2:$E$721,"Third Term")</f>
        <v>54.5</v>
      </c>
      <c r="E151" s="4">
        <f t="shared" si="5"/>
        <v>3.6666666666666643</v>
      </c>
      <c r="F151" t="str">
        <f t="shared" si="6"/>
        <v>Improved</v>
      </c>
    </row>
    <row r="152" spans="1:6" x14ac:dyDescent="0.35">
      <c r="A152" s="8" t="s">
        <v>431</v>
      </c>
      <c r="B152" t="str">
        <f>_xlfn.XLOOKUP(A152,'Cleaned Data'!$A$2:$A$721,'Cleaned Data'!$B$2:$B$721)</f>
        <v>Ifeoma Ogunleye</v>
      </c>
      <c r="C152" s="4">
        <f>AVERAGEIFS('Cleaned Data'!$M$2:$M$721,'Cleaned Data'!$A$2:$A$721,A152,'Cleaned Data'!$E$2:$E$721,"First Term")</f>
        <v>83.5</v>
      </c>
      <c r="D152" s="4">
        <f>AVERAGEIFS('Cleaned Data'!$M$2:$M$721,'Cleaned Data'!$A$2:$A$721,A152,'Cleaned Data'!$E$2:$E$721,"Third Term")</f>
        <v>79.166666666666671</v>
      </c>
      <c r="E152" s="4">
        <f t="shared" si="5"/>
        <v>-4.3333333333333286</v>
      </c>
      <c r="F152" t="str">
        <f t="shared" si="6"/>
        <v>Dropped</v>
      </c>
    </row>
    <row r="153" spans="1:6" x14ac:dyDescent="0.35">
      <c r="A153" s="9" t="s">
        <v>433</v>
      </c>
      <c r="B153" t="str">
        <f>_xlfn.XLOOKUP(A153,'Cleaned Data'!$A$2:$A$721,'Cleaned Data'!$B$2:$B$721)</f>
        <v>Oluwaseun Lawal</v>
      </c>
      <c r="C153" s="4">
        <f>AVERAGEIFS('Cleaned Data'!$M$2:$M$721,'Cleaned Data'!$A$2:$A$721,A153,'Cleaned Data'!$E$2:$E$721,"First Term")</f>
        <v>49.833333333333336</v>
      </c>
      <c r="D153" s="4">
        <f>AVERAGEIFS('Cleaned Data'!$M$2:$M$721,'Cleaned Data'!$A$2:$A$721,A153,'Cleaned Data'!$E$2:$E$721,"Third Term")</f>
        <v>47.833333333333336</v>
      </c>
      <c r="E153" s="4">
        <f t="shared" si="5"/>
        <v>-2</v>
      </c>
      <c r="F153" t="str">
        <f t="shared" si="6"/>
        <v>Dropped</v>
      </c>
    </row>
    <row r="154" spans="1:6" x14ac:dyDescent="0.35">
      <c r="A154" s="8" t="s">
        <v>435</v>
      </c>
      <c r="B154" t="str">
        <f>_xlfn.XLOOKUP(A154,'Cleaned Data'!$A$2:$A$721,'Cleaned Data'!$B$2:$B$721)</f>
        <v>Ifeanyi Adewale</v>
      </c>
      <c r="C154" s="4">
        <f>AVERAGEIFS('Cleaned Data'!$M$2:$M$721,'Cleaned Data'!$A$2:$A$721,A154,'Cleaned Data'!$E$2:$E$721,"First Term")</f>
        <v>51.166666666666664</v>
      </c>
      <c r="D154" s="4">
        <f>AVERAGEIFS('Cleaned Data'!$M$2:$M$721,'Cleaned Data'!$A$2:$A$721,A154,'Cleaned Data'!$E$2:$E$721,"Third Term")</f>
        <v>69.5</v>
      </c>
      <c r="E154" s="4">
        <f t="shared" si="5"/>
        <v>18.333333333333336</v>
      </c>
      <c r="F154" t="str">
        <f t="shared" si="6"/>
        <v>Improved</v>
      </c>
    </row>
    <row r="155" spans="1:6" x14ac:dyDescent="0.35">
      <c r="A155" s="9" t="s">
        <v>438</v>
      </c>
      <c r="B155" t="str">
        <f>_xlfn.XLOOKUP(A155,'Cleaned Data'!$A$2:$A$721,'Cleaned Data'!$B$2:$B$721)</f>
        <v>Femi Ekpo</v>
      </c>
      <c r="C155" s="4">
        <f>AVERAGEIFS('Cleaned Data'!$M$2:$M$721,'Cleaned Data'!$A$2:$A$721,A155,'Cleaned Data'!$E$2:$E$721,"First Term")</f>
        <v>57</v>
      </c>
      <c r="D155" s="4">
        <f>AVERAGEIFS('Cleaned Data'!$M$2:$M$721,'Cleaned Data'!$A$2:$A$721,A155,'Cleaned Data'!$E$2:$E$721,"Third Term")</f>
        <v>53.833333333333336</v>
      </c>
      <c r="E155" s="4">
        <f t="shared" si="5"/>
        <v>-3.1666666666666643</v>
      </c>
      <c r="F155" t="str">
        <f t="shared" si="6"/>
        <v>Dropped</v>
      </c>
    </row>
    <row r="156" spans="1:6" x14ac:dyDescent="0.35">
      <c r="A156" s="8" t="s">
        <v>441</v>
      </c>
      <c r="B156" t="str">
        <f>_xlfn.XLOOKUP(A156,'Cleaned Data'!$A$2:$A$721,'Cleaned Data'!$B$2:$B$721)</f>
        <v>Comfort Eke</v>
      </c>
      <c r="C156" s="4">
        <f>AVERAGEIFS('Cleaned Data'!$M$2:$M$721,'Cleaned Data'!$A$2:$A$721,A156,'Cleaned Data'!$E$2:$E$721,"First Term")</f>
        <v>68</v>
      </c>
      <c r="D156" s="4">
        <f>AVERAGEIFS('Cleaned Data'!$M$2:$M$721,'Cleaned Data'!$A$2:$A$721,A156,'Cleaned Data'!$E$2:$E$721,"Third Term")</f>
        <v>63.5</v>
      </c>
      <c r="E156" s="4">
        <f t="shared" si="5"/>
        <v>-4.5</v>
      </c>
      <c r="F156" t="str">
        <f t="shared" si="6"/>
        <v>Dropped</v>
      </c>
    </row>
    <row r="157" spans="1:6" x14ac:dyDescent="0.35">
      <c r="A157" s="9" t="s">
        <v>444</v>
      </c>
      <c r="B157" t="str">
        <f>_xlfn.XLOOKUP(A157,'Cleaned Data'!$A$2:$A$721,'Cleaned Data'!$B$2:$B$721)</f>
        <v>Uchenna Nwosu</v>
      </c>
      <c r="C157" s="4">
        <f>AVERAGEIFS('Cleaned Data'!$M$2:$M$721,'Cleaned Data'!$A$2:$A$721,A157,'Cleaned Data'!$E$2:$E$721,"First Term")</f>
        <v>73.5</v>
      </c>
      <c r="D157" s="4">
        <f>AVERAGEIFS('Cleaned Data'!$M$2:$M$721,'Cleaned Data'!$A$2:$A$721,A157,'Cleaned Data'!$E$2:$E$721,"Third Term")</f>
        <v>84</v>
      </c>
      <c r="E157" s="4">
        <f t="shared" si="5"/>
        <v>10.5</v>
      </c>
      <c r="F157" t="str">
        <f t="shared" si="6"/>
        <v>Improved</v>
      </c>
    </row>
    <row r="158" spans="1:6" x14ac:dyDescent="0.35">
      <c r="A158" s="8" t="s">
        <v>446</v>
      </c>
      <c r="B158" t="str">
        <f>_xlfn.XLOOKUP(A158,'Cleaned Data'!$A$2:$A$721,'Cleaned Data'!$B$2:$B$721)</f>
        <v>Hauwa Lawal</v>
      </c>
      <c r="C158" s="4">
        <f>AVERAGEIFS('Cleaned Data'!$M$2:$M$721,'Cleaned Data'!$A$2:$A$721,A158,'Cleaned Data'!$E$2:$E$721,"First Term")</f>
        <v>73.166666666666671</v>
      </c>
      <c r="D158" s="4">
        <f>AVERAGEIFS('Cleaned Data'!$M$2:$M$721,'Cleaned Data'!$A$2:$A$721,A158,'Cleaned Data'!$E$2:$E$721,"Third Term")</f>
        <v>74.333333333333329</v>
      </c>
      <c r="E158" s="4">
        <f t="shared" si="5"/>
        <v>1.1666666666666572</v>
      </c>
      <c r="F158" t="str">
        <f t="shared" si="6"/>
        <v>Improved</v>
      </c>
    </row>
    <row r="159" spans="1:6" x14ac:dyDescent="0.35">
      <c r="A159" s="9" t="s">
        <v>450</v>
      </c>
      <c r="B159" t="str">
        <f>_xlfn.XLOOKUP(A159,'Cleaned Data'!$A$2:$A$721,'Cleaned Data'!$B$2:$B$721)</f>
        <v>Sade Umar</v>
      </c>
      <c r="C159" s="4">
        <f>AVERAGEIFS('Cleaned Data'!$M$2:$M$721,'Cleaned Data'!$A$2:$A$721,A159,'Cleaned Data'!$E$2:$E$721,"First Term")</f>
        <v>94.666666666666671</v>
      </c>
      <c r="D159" s="4">
        <f>AVERAGEIFS('Cleaned Data'!$M$2:$M$721,'Cleaned Data'!$A$2:$A$721,A159,'Cleaned Data'!$E$2:$E$721,"Third Term")</f>
        <v>96.666666666666671</v>
      </c>
      <c r="E159" s="4">
        <f t="shared" si="5"/>
        <v>2</v>
      </c>
      <c r="F159" t="str">
        <f t="shared" si="6"/>
        <v>Improved</v>
      </c>
    </row>
    <row r="160" spans="1:6" x14ac:dyDescent="0.35">
      <c r="A160" s="8" t="s">
        <v>453</v>
      </c>
      <c r="B160" t="str">
        <f>_xlfn.XLOOKUP(A160,'Cleaned Data'!$A$2:$A$721,'Cleaned Data'!$B$2:$B$721)</f>
        <v>Ikenna Thomas</v>
      </c>
      <c r="C160" s="4">
        <f>AVERAGEIFS('Cleaned Data'!$M$2:$M$721,'Cleaned Data'!$A$2:$A$721,A160,'Cleaned Data'!$E$2:$E$721,"First Term")</f>
        <v>67.666666666666671</v>
      </c>
      <c r="D160" s="4">
        <f>AVERAGEIFS('Cleaned Data'!$M$2:$M$721,'Cleaned Data'!$A$2:$A$721,A160,'Cleaned Data'!$E$2:$E$721,"Third Term")</f>
        <v>69.5</v>
      </c>
      <c r="E160" s="4">
        <f t="shared" si="5"/>
        <v>1.8333333333333286</v>
      </c>
      <c r="F160" t="str">
        <f t="shared" si="6"/>
        <v>Improved</v>
      </c>
    </row>
    <row r="161" spans="1:6" x14ac:dyDescent="0.35">
      <c r="A161" s="9" t="s">
        <v>455</v>
      </c>
      <c r="B161" t="str">
        <f>_xlfn.XLOOKUP(A161,'Cleaned Data'!$A$2:$A$721,'Cleaned Data'!$B$2:$B$721)</f>
        <v>Folake Hassan</v>
      </c>
      <c r="C161" s="4">
        <f>AVERAGEIFS('Cleaned Data'!$M$2:$M$721,'Cleaned Data'!$A$2:$A$721,A161,'Cleaned Data'!$E$2:$E$721,"First Term")</f>
        <v>48</v>
      </c>
      <c r="D161" s="4">
        <f>AVERAGEIFS('Cleaned Data'!$M$2:$M$721,'Cleaned Data'!$A$2:$A$721,A161,'Cleaned Data'!$E$2:$E$721,"Third Term")</f>
        <v>48</v>
      </c>
      <c r="E161" s="4">
        <f t="shared" si="5"/>
        <v>0</v>
      </c>
      <c r="F161" t="str">
        <f t="shared" si="6"/>
        <v>Unchanged</v>
      </c>
    </row>
    <row r="162" spans="1:6" x14ac:dyDescent="0.35">
      <c r="A162" s="8" t="s">
        <v>458</v>
      </c>
      <c r="B162" t="str">
        <f>_xlfn.XLOOKUP(A162,'Cleaned Data'!$A$2:$A$721,'Cleaned Data'!$B$2:$B$721)</f>
        <v>Yusuf Salami</v>
      </c>
      <c r="C162" s="4">
        <f>AVERAGEIFS('Cleaned Data'!$M$2:$M$721,'Cleaned Data'!$A$2:$A$721,A162,'Cleaned Data'!$E$2:$E$721,"First Term")</f>
        <v>59.833333333333336</v>
      </c>
      <c r="D162" s="4">
        <f>AVERAGEIFS('Cleaned Data'!$M$2:$M$721,'Cleaned Data'!$A$2:$A$721,A162,'Cleaned Data'!$E$2:$E$721,"Third Term")</f>
        <v>58.5</v>
      </c>
      <c r="E162" s="4">
        <f t="shared" si="5"/>
        <v>-1.3333333333333357</v>
      </c>
      <c r="F162" t="str">
        <f t="shared" si="6"/>
        <v>Dropped</v>
      </c>
    </row>
    <row r="163" spans="1:6" x14ac:dyDescent="0.35">
      <c r="A163" s="9" t="s">
        <v>463</v>
      </c>
      <c r="B163" t="str">
        <f>_xlfn.XLOOKUP(A163,'Cleaned Data'!$A$2:$A$721,'Cleaned Data'!$B$2:$B$721)</f>
        <v>Omolara Mohammed</v>
      </c>
      <c r="C163" s="4">
        <f>AVERAGEIFS('Cleaned Data'!$M$2:$M$721,'Cleaned Data'!$A$2:$A$721,A163,'Cleaned Data'!$E$2:$E$721,"First Term")</f>
        <v>61.166666666666664</v>
      </c>
      <c r="D163" s="4">
        <f>AVERAGEIFS('Cleaned Data'!$M$2:$M$721,'Cleaned Data'!$A$2:$A$721,A163,'Cleaned Data'!$E$2:$E$721,"Third Term")</f>
        <v>58.666666666666664</v>
      </c>
      <c r="E163" s="4">
        <f t="shared" si="5"/>
        <v>-2.5</v>
      </c>
      <c r="F163" t="str">
        <f t="shared" si="6"/>
        <v>Dropped</v>
      </c>
    </row>
    <row r="164" spans="1:6" x14ac:dyDescent="0.35">
      <c r="A164" s="8" t="s">
        <v>465</v>
      </c>
      <c r="B164" t="str">
        <f>_xlfn.XLOOKUP(A164,'Cleaned Data'!$A$2:$A$721,'Cleaned Data'!$B$2:$B$721)</f>
        <v>Tolu Mohammed</v>
      </c>
      <c r="C164" s="4">
        <f>AVERAGEIFS('Cleaned Data'!$M$2:$M$721,'Cleaned Data'!$A$2:$A$721,A164,'Cleaned Data'!$E$2:$E$721,"First Term")</f>
        <v>60.833333333333336</v>
      </c>
      <c r="D164" s="4">
        <f>AVERAGEIFS('Cleaned Data'!$M$2:$M$721,'Cleaned Data'!$A$2:$A$721,A164,'Cleaned Data'!$E$2:$E$721,"Third Term")</f>
        <v>82</v>
      </c>
      <c r="E164" s="4">
        <f t="shared" si="5"/>
        <v>21.166666666666664</v>
      </c>
      <c r="F164" t="str">
        <f t="shared" si="6"/>
        <v>Improved</v>
      </c>
    </row>
    <row r="165" spans="1:6" x14ac:dyDescent="0.35">
      <c r="A165" s="9" t="s">
        <v>468</v>
      </c>
      <c r="B165" t="str">
        <f>_xlfn.XLOOKUP(A165,'Cleaned Data'!$A$2:$A$721,'Cleaned Data'!$B$2:$B$721)</f>
        <v>Ifeoma Hassan</v>
      </c>
      <c r="C165" s="4">
        <f>AVERAGEIFS('Cleaned Data'!$M$2:$M$721,'Cleaned Data'!$A$2:$A$721,A165,'Cleaned Data'!$E$2:$E$721,"First Term")</f>
        <v>55.4</v>
      </c>
      <c r="D165" s="4">
        <f>AVERAGEIFS('Cleaned Data'!$M$2:$M$721,'Cleaned Data'!$A$2:$A$721,A165,'Cleaned Data'!$E$2:$E$721,"Third Term")</f>
        <v>63.5</v>
      </c>
      <c r="E165" s="4">
        <f t="shared" si="5"/>
        <v>8.1000000000000014</v>
      </c>
      <c r="F165" t="str">
        <f t="shared" si="6"/>
        <v>Improved</v>
      </c>
    </row>
    <row r="166" spans="1:6" x14ac:dyDescent="0.35">
      <c r="A166" s="8" t="s">
        <v>471</v>
      </c>
      <c r="B166" t="str">
        <f>_xlfn.XLOOKUP(A166,'Cleaned Data'!$A$2:$A$721,'Cleaned Data'!$B$2:$B$721)</f>
        <v>Seun Danjuma</v>
      </c>
      <c r="C166" s="4">
        <f>AVERAGEIFS('Cleaned Data'!$M$2:$M$721,'Cleaned Data'!$A$2:$A$721,A166,'Cleaned Data'!$E$2:$E$721,"First Term")</f>
        <v>59.333333333333336</v>
      </c>
      <c r="D166" s="4">
        <f>AVERAGEIFS('Cleaned Data'!$M$2:$M$721,'Cleaned Data'!$A$2:$A$721,A166,'Cleaned Data'!$E$2:$E$721,"Third Term")</f>
        <v>69.333333333333329</v>
      </c>
      <c r="E166" s="4">
        <f t="shared" si="5"/>
        <v>9.9999999999999929</v>
      </c>
      <c r="F166" t="str">
        <f t="shared" si="6"/>
        <v>Improved</v>
      </c>
    </row>
    <row r="167" spans="1:6" x14ac:dyDescent="0.35">
      <c r="A167" s="9" t="s">
        <v>474</v>
      </c>
      <c r="B167" t="str">
        <f>_xlfn.XLOOKUP(A167,'Cleaned Data'!$A$2:$A$721,'Cleaned Data'!$B$2:$B$721)</f>
        <v>Patience Adeyemi</v>
      </c>
      <c r="C167" s="4">
        <f>AVERAGEIFS('Cleaned Data'!$M$2:$M$721,'Cleaned Data'!$A$2:$A$721,A167,'Cleaned Data'!$E$2:$E$721,"First Term")</f>
        <v>68.166666666666671</v>
      </c>
      <c r="D167" s="4">
        <f>AVERAGEIFS('Cleaned Data'!$M$2:$M$721,'Cleaned Data'!$A$2:$A$721,A167,'Cleaned Data'!$E$2:$E$721,"Third Term")</f>
        <v>75.166666666666671</v>
      </c>
      <c r="E167" s="4">
        <f t="shared" si="5"/>
        <v>7</v>
      </c>
      <c r="F167" t="str">
        <f t="shared" si="6"/>
        <v>Improved</v>
      </c>
    </row>
    <row r="168" spans="1:6" x14ac:dyDescent="0.35">
      <c r="A168" s="8" t="s">
        <v>476</v>
      </c>
      <c r="B168" t="str">
        <f>_xlfn.XLOOKUP(A168,'Cleaned Data'!$A$2:$A$721,'Cleaned Data'!$B$2:$B$721)</f>
        <v>Ifeoma Suleiman</v>
      </c>
      <c r="C168" s="4">
        <f>AVERAGEIFS('Cleaned Data'!$M$2:$M$721,'Cleaned Data'!$A$2:$A$721,A168,'Cleaned Data'!$E$2:$E$721,"First Term")</f>
        <v>45.666666666666664</v>
      </c>
      <c r="D168" s="4">
        <f>AVERAGEIFS('Cleaned Data'!$M$2:$M$721,'Cleaned Data'!$A$2:$A$721,A168,'Cleaned Data'!$E$2:$E$721,"Third Term")</f>
        <v>49.666666666666664</v>
      </c>
      <c r="E168" s="4">
        <f t="shared" si="5"/>
        <v>4</v>
      </c>
      <c r="F168" t="str">
        <f t="shared" si="6"/>
        <v>Improved</v>
      </c>
    </row>
    <row r="169" spans="1:6" x14ac:dyDescent="0.35">
      <c r="A169" s="9" t="s">
        <v>479</v>
      </c>
      <c r="B169" t="str">
        <f>_xlfn.XLOOKUP(A169,'Cleaned Data'!$A$2:$A$721,'Cleaned Data'!$B$2:$B$721)</f>
        <v>Ifeanyi Oladipo</v>
      </c>
      <c r="C169" s="4">
        <f>AVERAGEIFS('Cleaned Data'!$M$2:$M$721,'Cleaned Data'!$A$2:$A$721,A169,'Cleaned Data'!$E$2:$E$721,"First Term")</f>
        <v>76.5</v>
      </c>
      <c r="D169" s="4">
        <f>AVERAGEIFS('Cleaned Data'!$M$2:$M$721,'Cleaned Data'!$A$2:$A$721,A169,'Cleaned Data'!$E$2:$E$721,"Third Term")</f>
        <v>74.666666666666671</v>
      </c>
      <c r="E169" s="4">
        <f t="shared" si="5"/>
        <v>-1.8333333333333286</v>
      </c>
      <c r="F169" t="str">
        <f t="shared" si="6"/>
        <v>Dropped</v>
      </c>
    </row>
    <row r="170" spans="1:6" x14ac:dyDescent="0.35">
      <c r="A170" s="8" t="s">
        <v>482</v>
      </c>
      <c r="B170" t="str">
        <f>_xlfn.XLOOKUP(A170,'Cleaned Data'!$A$2:$A$721,'Cleaned Data'!$B$2:$B$721)</f>
        <v>Dare Bakare</v>
      </c>
      <c r="C170" s="4">
        <f>AVERAGEIFS('Cleaned Data'!$M$2:$M$721,'Cleaned Data'!$A$2:$A$721,A170,'Cleaned Data'!$E$2:$E$721,"First Term")</f>
        <v>31.833333333333332</v>
      </c>
      <c r="D170" s="4">
        <f>AVERAGEIFS('Cleaned Data'!$M$2:$M$721,'Cleaned Data'!$A$2:$A$721,A170,'Cleaned Data'!$E$2:$E$721,"Third Term")</f>
        <v>24.5</v>
      </c>
      <c r="E170" s="4">
        <f t="shared" si="5"/>
        <v>-7.3333333333333321</v>
      </c>
      <c r="F170" t="str">
        <f t="shared" si="6"/>
        <v>Dropped</v>
      </c>
    </row>
    <row r="171" spans="1:6" x14ac:dyDescent="0.35">
      <c r="A171" s="9" t="s">
        <v>485</v>
      </c>
      <c r="B171" t="str">
        <f>_xlfn.XLOOKUP(A171,'Cleaned Data'!$A$2:$A$721,'Cleaned Data'!$B$2:$B$721)</f>
        <v>Khadija Obi</v>
      </c>
      <c r="C171" s="4">
        <f>AVERAGEIFS('Cleaned Data'!$M$2:$M$721,'Cleaned Data'!$A$2:$A$721,A171,'Cleaned Data'!$E$2:$E$721,"First Term")</f>
        <v>27.333333333333332</v>
      </c>
      <c r="D171" s="4">
        <f>AVERAGEIFS('Cleaned Data'!$M$2:$M$721,'Cleaned Data'!$A$2:$A$721,A171,'Cleaned Data'!$E$2:$E$721,"Third Term")</f>
        <v>19.166666666666668</v>
      </c>
      <c r="E171" s="4">
        <f t="shared" si="5"/>
        <v>-8.1666666666666643</v>
      </c>
      <c r="F171" t="str">
        <f t="shared" si="6"/>
        <v>Dropped</v>
      </c>
    </row>
    <row r="172" spans="1:6" x14ac:dyDescent="0.35">
      <c r="A172" s="8" t="s">
        <v>487</v>
      </c>
      <c r="B172" t="str">
        <f>_xlfn.XLOOKUP(A172,'Cleaned Data'!$A$2:$A$721,'Cleaned Data'!$B$2:$B$721)</f>
        <v>Ifeanyi Amadi</v>
      </c>
      <c r="C172" s="4">
        <f>AVERAGEIFS('Cleaned Data'!$M$2:$M$721,'Cleaned Data'!$A$2:$A$721,A172,'Cleaned Data'!$E$2:$E$721,"First Term")</f>
        <v>51.166666666666664</v>
      </c>
      <c r="D172" s="4">
        <f>AVERAGEIFS('Cleaned Data'!$M$2:$M$721,'Cleaned Data'!$A$2:$A$721,A172,'Cleaned Data'!$E$2:$E$721,"Third Term")</f>
        <v>69.333333333333329</v>
      </c>
      <c r="E172" s="4">
        <f t="shared" si="5"/>
        <v>18.166666666666664</v>
      </c>
      <c r="F172" t="str">
        <f t="shared" si="6"/>
        <v>Improved</v>
      </c>
    </row>
    <row r="173" spans="1:6" x14ac:dyDescent="0.35">
      <c r="A173" s="9" t="s">
        <v>489</v>
      </c>
      <c r="B173" t="str">
        <f>_xlfn.XLOOKUP(A173,'Cleaned Data'!$A$2:$A$721,'Cleaned Data'!$B$2:$B$721)</f>
        <v>Garba Danjuma</v>
      </c>
      <c r="C173" s="4">
        <f>AVERAGEIFS('Cleaned Data'!$M$2:$M$721,'Cleaned Data'!$A$2:$A$721,A173,'Cleaned Data'!$E$2:$E$721,"First Term")</f>
        <v>57.5</v>
      </c>
      <c r="D173" s="4">
        <f>AVERAGEIFS('Cleaned Data'!$M$2:$M$721,'Cleaned Data'!$A$2:$A$721,A173,'Cleaned Data'!$E$2:$E$721,"Third Term")</f>
        <v>57.333333333333336</v>
      </c>
      <c r="E173" s="4">
        <f t="shared" si="5"/>
        <v>-0.1666666666666643</v>
      </c>
      <c r="F173" t="str">
        <f t="shared" si="6"/>
        <v>Dropped</v>
      </c>
    </row>
    <row r="174" spans="1:6" x14ac:dyDescent="0.35">
      <c r="A174" s="8" t="s">
        <v>493</v>
      </c>
      <c r="B174" t="str">
        <f>_xlfn.XLOOKUP(A174,'Cleaned Data'!$A$2:$A$721,'Cleaned Data'!$B$2:$B$721)</f>
        <v>Esther Musa</v>
      </c>
      <c r="C174" s="4">
        <f>AVERAGEIFS('Cleaned Data'!$M$2:$M$721,'Cleaned Data'!$A$2:$A$721,A174,'Cleaned Data'!$E$2:$E$721,"First Term")</f>
        <v>56.666666666666664</v>
      </c>
      <c r="D174" s="4">
        <f>AVERAGEIFS('Cleaned Data'!$M$2:$M$721,'Cleaned Data'!$A$2:$A$721,A174,'Cleaned Data'!$E$2:$E$721,"Third Term")</f>
        <v>62</v>
      </c>
      <c r="E174" s="4">
        <f t="shared" si="5"/>
        <v>5.3333333333333357</v>
      </c>
      <c r="F174" t="str">
        <f t="shared" si="6"/>
        <v>Improved</v>
      </c>
    </row>
    <row r="175" spans="1:6" x14ac:dyDescent="0.35">
      <c r="A175" s="9" t="s">
        <v>496</v>
      </c>
      <c r="B175" t="str">
        <f>_xlfn.XLOOKUP(A175,'Cleaned Data'!$A$2:$A$721,'Cleaned Data'!$B$2:$B$721)</f>
        <v>Kemi Hassan</v>
      </c>
      <c r="C175" s="4">
        <f>AVERAGEIFS('Cleaned Data'!$M$2:$M$721,'Cleaned Data'!$A$2:$A$721,A175,'Cleaned Data'!$E$2:$E$721,"First Term")</f>
        <v>58.6</v>
      </c>
      <c r="D175" s="4">
        <f>AVERAGEIFS('Cleaned Data'!$M$2:$M$721,'Cleaned Data'!$A$2:$A$721,A175,'Cleaned Data'!$E$2:$E$721,"Third Term")</f>
        <v>67.333333333333329</v>
      </c>
      <c r="E175" s="4">
        <f t="shared" si="5"/>
        <v>8.7333333333333272</v>
      </c>
      <c r="F175" t="str">
        <f t="shared" si="6"/>
        <v>Improved</v>
      </c>
    </row>
    <row r="176" spans="1:6" x14ac:dyDescent="0.35">
      <c r="A176" s="8" t="s">
        <v>499</v>
      </c>
      <c r="B176" t="str">
        <f>_xlfn.XLOOKUP(A176,'Cleaned Data'!$A$2:$A$721,'Cleaned Data'!$B$2:$B$721)</f>
        <v>Dare Ogbonna</v>
      </c>
      <c r="C176" s="4">
        <f>AVERAGEIFS('Cleaned Data'!$M$2:$M$721,'Cleaned Data'!$A$2:$A$721,A176,'Cleaned Data'!$E$2:$E$721,"First Term")</f>
        <v>66</v>
      </c>
      <c r="D176" s="4">
        <f>AVERAGEIFS('Cleaned Data'!$M$2:$M$721,'Cleaned Data'!$A$2:$A$721,A176,'Cleaned Data'!$E$2:$E$721,"Third Term")</f>
        <v>63.166666666666664</v>
      </c>
      <c r="E176" s="4">
        <f t="shared" si="5"/>
        <v>-2.8333333333333357</v>
      </c>
      <c r="F176" t="str">
        <f t="shared" si="6"/>
        <v>Dropped</v>
      </c>
    </row>
    <row r="177" spans="1:6" x14ac:dyDescent="0.35">
      <c r="A177" s="9" t="s">
        <v>501</v>
      </c>
      <c r="B177" t="str">
        <f>_xlfn.XLOOKUP(A177,'Cleaned Data'!$A$2:$A$721,'Cleaned Data'!$B$2:$B$721)</f>
        <v>Dare Danjuma</v>
      </c>
      <c r="C177" s="4">
        <f>AVERAGEIFS('Cleaned Data'!$M$2:$M$721,'Cleaned Data'!$A$2:$A$721,A177,'Cleaned Data'!$E$2:$E$721,"First Term")</f>
        <v>74.166666666666671</v>
      </c>
      <c r="D177" s="4">
        <f>AVERAGEIFS('Cleaned Data'!$M$2:$M$721,'Cleaned Data'!$A$2:$A$721,A177,'Cleaned Data'!$E$2:$E$721,"Third Term")</f>
        <v>81.666666666666671</v>
      </c>
      <c r="E177" s="4">
        <f t="shared" si="5"/>
        <v>7.5</v>
      </c>
      <c r="F177" t="str">
        <f t="shared" si="6"/>
        <v>Improved</v>
      </c>
    </row>
    <row r="178" spans="1:6" x14ac:dyDescent="0.35">
      <c r="A178" s="8" t="s">
        <v>503</v>
      </c>
      <c r="B178" t="str">
        <f>_xlfn.XLOOKUP(A178,'Cleaned Data'!$A$2:$A$721,'Cleaned Data'!$B$2:$B$721)</f>
        <v>Blessing Ibrahim</v>
      </c>
      <c r="C178" s="4">
        <f>AVERAGEIFS('Cleaned Data'!$M$2:$M$721,'Cleaned Data'!$A$2:$A$721,A178,'Cleaned Data'!$E$2:$E$721,"First Term")</f>
        <v>53.666666666666664</v>
      </c>
      <c r="D178" s="4">
        <f>AVERAGEIFS('Cleaned Data'!$M$2:$M$721,'Cleaned Data'!$A$2:$A$721,A178,'Cleaned Data'!$E$2:$E$721,"Third Term")</f>
        <v>67.666666666666671</v>
      </c>
      <c r="E178" s="4">
        <f t="shared" si="5"/>
        <v>14.000000000000007</v>
      </c>
      <c r="F178" t="str">
        <f t="shared" si="6"/>
        <v>Improved</v>
      </c>
    </row>
    <row r="179" spans="1:6" x14ac:dyDescent="0.35">
      <c r="A179" s="9" t="s">
        <v>505</v>
      </c>
      <c r="B179" t="str">
        <f>_xlfn.XLOOKUP(A179,'Cleaned Data'!$A$2:$A$721,'Cleaned Data'!$B$2:$B$721)</f>
        <v>Comfort Anyanwu</v>
      </c>
      <c r="C179" s="4">
        <f>AVERAGEIFS('Cleaned Data'!$M$2:$M$721,'Cleaned Data'!$A$2:$A$721,A179,'Cleaned Data'!$E$2:$E$721,"First Term")</f>
        <v>54</v>
      </c>
      <c r="D179" s="4">
        <f>AVERAGEIFS('Cleaned Data'!$M$2:$M$721,'Cleaned Data'!$A$2:$A$721,A179,'Cleaned Data'!$E$2:$E$721,"Third Term")</f>
        <v>56</v>
      </c>
      <c r="E179" s="4">
        <f t="shared" si="5"/>
        <v>2</v>
      </c>
      <c r="F179" t="str">
        <f t="shared" si="6"/>
        <v>Improved</v>
      </c>
    </row>
    <row r="180" spans="1:6" x14ac:dyDescent="0.35">
      <c r="A180" s="8" t="s">
        <v>507</v>
      </c>
      <c r="B180" t="str">
        <f>_xlfn.XLOOKUP(A180,'Cleaned Data'!$A$2:$A$721,'Cleaned Data'!$B$2:$B$721)</f>
        <v>Ayodele Abubakar</v>
      </c>
      <c r="C180" s="4">
        <f>AVERAGEIFS('Cleaned Data'!$M$2:$M$721,'Cleaned Data'!$A$2:$A$721,A180,'Cleaned Data'!$E$2:$E$721,"First Term")</f>
        <v>66</v>
      </c>
      <c r="D180" s="4">
        <f>AVERAGEIFS('Cleaned Data'!$M$2:$M$721,'Cleaned Data'!$A$2:$A$721,A180,'Cleaned Data'!$E$2:$E$721,"Third Term")</f>
        <v>68.5</v>
      </c>
      <c r="E180" s="4">
        <f t="shared" si="5"/>
        <v>2.5</v>
      </c>
      <c r="F180" t="str">
        <f t="shared" si="6"/>
        <v>Improved</v>
      </c>
    </row>
    <row r="181" spans="1:6" x14ac:dyDescent="0.35">
      <c r="A181" s="9" t="s">
        <v>509</v>
      </c>
      <c r="B181" t="str">
        <f>_xlfn.XLOOKUP(A181,'Cleaned Data'!$A$2:$A$721,'Cleaned Data'!$B$2:$B$721)</f>
        <v>Daniel Thomas</v>
      </c>
      <c r="C181" s="4">
        <f>AVERAGEIFS('Cleaned Data'!$M$2:$M$721,'Cleaned Data'!$A$2:$A$721,A181,'Cleaned Data'!$E$2:$E$721,"First Term")</f>
        <v>53.833333333333336</v>
      </c>
      <c r="D181" s="4">
        <f>AVERAGEIFS('Cleaned Data'!$M$2:$M$721,'Cleaned Data'!$A$2:$A$721,A181,'Cleaned Data'!$E$2:$E$721,"Third Term")</f>
        <v>51.333333333333336</v>
      </c>
      <c r="E181" s="4">
        <f t="shared" si="5"/>
        <v>-2.5</v>
      </c>
      <c r="F181" t="str">
        <f t="shared" si="6"/>
        <v>Dropped</v>
      </c>
    </row>
    <row r="182" spans="1:6" x14ac:dyDescent="0.35">
      <c r="A182" s="8" t="s">
        <v>511</v>
      </c>
      <c r="B182" t="str">
        <f>_xlfn.XLOOKUP(A182,'Cleaned Data'!$A$2:$A$721,'Cleaned Data'!$B$2:$B$721)</f>
        <v>Bello Adewale</v>
      </c>
      <c r="C182" s="4">
        <f>AVERAGEIFS('Cleaned Data'!$M$2:$M$721,'Cleaned Data'!$A$2:$A$721,A182,'Cleaned Data'!$E$2:$E$721,"First Term")</f>
        <v>54.166666666666664</v>
      </c>
      <c r="D182" s="4">
        <f>AVERAGEIFS('Cleaned Data'!$M$2:$M$721,'Cleaned Data'!$A$2:$A$721,A182,'Cleaned Data'!$E$2:$E$721,"Third Term")</f>
        <v>65.5</v>
      </c>
      <c r="E182" s="4">
        <f t="shared" si="5"/>
        <v>11.333333333333336</v>
      </c>
      <c r="F182" t="str">
        <f t="shared" si="6"/>
        <v>Improved</v>
      </c>
    </row>
    <row r="183" spans="1:6" x14ac:dyDescent="0.35">
      <c r="A183" s="9" t="s">
        <v>513</v>
      </c>
      <c r="B183" t="str">
        <f>_xlfn.XLOOKUP(A183,'Cleaned Data'!$A$2:$A$721,'Cleaned Data'!$B$2:$B$721)</f>
        <v>Nnamdi Ajayi</v>
      </c>
      <c r="C183" s="4">
        <f>AVERAGEIFS('Cleaned Data'!$M$2:$M$721,'Cleaned Data'!$A$2:$A$721,A183,'Cleaned Data'!$E$2:$E$721,"First Term")</f>
        <v>38.166666666666664</v>
      </c>
      <c r="D183" s="4">
        <f>AVERAGEIFS('Cleaned Data'!$M$2:$M$721,'Cleaned Data'!$A$2:$A$721,A183,'Cleaned Data'!$E$2:$E$721,"Third Term")</f>
        <v>44.833333333333336</v>
      </c>
      <c r="E183" s="4">
        <f t="shared" si="5"/>
        <v>6.6666666666666714</v>
      </c>
      <c r="F183" t="str">
        <f t="shared" si="6"/>
        <v>Improved</v>
      </c>
    </row>
    <row r="184" spans="1:6" x14ac:dyDescent="0.35">
      <c r="A184" s="8" t="s">
        <v>516</v>
      </c>
      <c r="B184" t="str">
        <f>_xlfn.XLOOKUP(A184,'Cleaned Data'!$A$2:$A$721,'Cleaned Data'!$B$2:$B$721)</f>
        <v>Nnamdi Ezeh</v>
      </c>
      <c r="C184" s="4">
        <f>AVERAGEIFS('Cleaned Data'!$M$2:$M$721,'Cleaned Data'!$A$2:$A$721,A184,'Cleaned Data'!$E$2:$E$721,"First Term")</f>
        <v>62</v>
      </c>
      <c r="D184" s="4">
        <f>AVERAGEIFS('Cleaned Data'!$M$2:$M$721,'Cleaned Data'!$A$2:$A$721,A184,'Cleaned Data'!$E$2:$E$721,"Third Term")</f>
        <v>64.833333333333329</v>
      </c>
      <c r="E184" s="4">
        <f t="shared" si="5"/>
        <v>2.8333333333333286</v>
      </c>
      <c r="F184" t="str">
        <f t="shared" si="6"/>
        <v>Improved</v>
      </c>
    </row>
    <row r="185" spans="1:6" x14ac:dyDescent="0.35">
      <c r="A185" s="9" t="s">
        <v>519</v>
      </c>
      <c r="B185" t="str">
        <f>_xlfn.XLOOKUP(A185,'Cleaned Data'!$A$2:$A$721,'Cleaned Data'!$B$2:$B$721)</f>
        <v>Precious Abubakar</v>
      </c>
      <c r="C185" s="4">
        <f>AVERAGEIFS('Cleaned Data'!$M$2:$M$721,'Cleaned Data'!$A$2:$A$721,A185,'Cleaned Data'!$E$2:$E$721,"First Term")</f>
        <v>66.166666666666671</v>
      </c>
      <c r="D185" s="4">
        <f>AVERAGEIFS('Cleaned Data'!$M$2:$M$721,'Cleaned Data'!$A$2:$A$721,A185,'Cleaned Data'!$E$2:$E$721,"Third Term")</f>
        <v>53</v>
      </c>
      <c r="E185" s="4">
        <f t="shared" si="5"/>
        <v>-13.166666666666671</v>
      </c>
      <c r="F185" t="str">
        <f t="shared" si="6"/>
        <v>Dropped</v>
      </c>
    </row>
    <row r="186" spans="1:6" x14ac:dyDescent="0.35">
      <c r="A186" s="8" t="s">
        <v>523</v>
      </c>
      <c r="B186" t="str">
        <f>_xlfn.XLOOKUP(A186,'Cleaned Data'!$A$2:$A$721,'Cleaned Data'!$B$2:$B$721)</f>
        <v>Usman Eke</v>
      </c>
      <c r="C186" s="4">
        <f>AVERAGEIFS('Cleaned Data'!$M$2:$M$721,'Cleaned Data'!$A$2:$A$721,A186,'Cleaned Data'!$E$2:$E$721,"First Term")</f>
        <v>69.166666666666671</v>
      </c>
      <c r="D186" s="4">
        <f>AVERAGEIFS('Cleaned Data'!$M$2:$M$721,'Cleaned Data'!$A$2:$A$721,A186,'Cleaned Data'!$E$2:$E$721,"Third Term")</f>
        <v>74.5</v>
      </c>
      <c r="E186" s="4">
        <f t="shared" si="5"/>
        <v>5.3333333333333286</v>
      </c>
      <c r="F186" t="str">
        <f t="shared" si="6"/>
        <v>Improved</v>
      </c>
    </row>
    <row r="187" spans="1:6" x14ac:dyDescent="0.35">
      <c r="A187" s="9" t="s">
        <v>525</v>
      </c>
      <c r="B187" t="str">
        <f>_xlfn.XLOOKUP(A187,'Cleaned Data'!$A$2:$A$721,'Cleaned Data'!$B$2:$B$721)</f>
        <v>Seun Adebayo</v>
      </c>
      <c r="C187" s="4">
        <f>AVERAGEIFS('Cleaned Data'!$M$2:$M$721,'Cleaned Data'!$A$2:$A$721,A187,'Cleaned Data'!$E$2:$E$721,"First Term")</f>
        <v>59.666666666666664</v>
      </c>
      <c r="D187" s="4">
        <f>AVERAGEIFS('Cleaned Data'!$M$2:$M$721,'Cleaned Data'!$A$2:$A$721,A187,'Cleaned Data'!$E$2:$E$721,"Third Term")</f>
        <v>62.666666666666664</v>
      </c>
      <c r="E187" s="4">
        <f t="shared" si="5"/>
        <v>3</v>
      </c>
      <c r="F187" t="str">
        <f t="shared" si="6"/>
        <v>Improved</v>
      </c>
    </row>
    <row r="188" spans="1:6" x14ac:dyDescent="0.35">
      <c r="A188" s="8" t="s">
        <v>528</v>
      </c>
      <c r="B188" t="str">
        <f>_xlfn.XLOOKUP(A188,'Cleaned Data'!$A$2:$A$721,'Cleaned Data'!$B$2:$B$721)</f>
        <v>Nneka Oladipo</v>
      </c>
      <c r="C188" s="4">
        <f>AVERAGEIFS('Cleaned Data'!$M$2:$M$721,'Cleaned Data'!$A$2:$A$721,A188,'Cleaned Data'!$E$2:$E$721,"First Term")</f>
        <v>75.333333333333329</v>
      </c>
      <c r="D188" s="4">
        <f>AVERAGEIFS('Cleaned Data'!$M$2:$M$721,'Cleaned Data'!$A$2:$A$721,A188,'Cleaned Data'!$E$2:$E$721,"Third Term")</f>
        <v>70.833333333333329</v>
      </c>
      <c r="E188" s="4">
        <f t="shared" si="5"/>
        <v>-4.5</v>
      </c>
      <c r="F188" t="str">
        <f t="shared" si="6"/>
        <v>Dropped</v>
      </c>
    </row>
    <row r="189" spans="1:6" x14ac:dyDescent="0.35">
      <c r="A189" s="9" t="s">
        <v>530</v>
      </c>
      <c r="B189" t="str">
        <f>_xlfn.XLOOKUP(A189,'Cleaned Data'!$A$2:$A$721,'Cleaned Data'!$B$2:$B$721)</f>
        <v>Peter Uzor</v>
      </c>
      <c r="C189" s="4">
        <f>AVERAGEIFS('Cleaned Data'!$M$2:$M$721,'Cleaned Data'!$A$2:$A$721,A189,'Cleaned Data'!$E$2:$E$721,"First Term")</f>
        <v>80.5</v>
      </c>
      <c r="D189" s="4">
        <f>AVERAGEIFS('Cleaned Data'!$M$2:$M$721,'Cleaned Data'!$A$2:$A$721,A189,'Cleaned Data'!$E$2:$E$721,"Third Term")</f>
        <v>85.166666666666671</v>
      </c>
      <c r="E189" s="4">
        <f t="shared" si="5"/>
        <v>4.6666666666666714</v>
      </c>
      <c r="F189" t="str">
        <f t="shared" si="6"/>
        <v>Improved</v>
      </c>
    </row>
    <row r="190" spans="1:6" x14ac:dyDescent="0.35">
      <c r="A190" s="8" t="s">
        <v>532</v>
      </c>
      <c r="B190" t="str">
        <f>_xlfn.XLOOKUP(A190,'Cleaned Data'!$A$2:$A$721,'Cleaned Data'!$B$2:$B$721)</f>
        <v>Ifeoma Lawal</v>
      </c>
      <c r="C190" s="4">
        <f>AVERAGEIFS('Cleaned Data'!$M$2:$M$721,'Cleaned Data'!$A$2:$A$721,A190,'Cleaned Data'!$E$2:$E$721,"First Term")</f>
        <v>91.333333333333329</v>
      </c>
      <c r="D190" s="4">
        <f>AVERAGEIFS('Cleaned Data'!$M$2:$M$721,'Cleaned Data'!$A$2:$A$721,A190,'Cleaned Data'!$E$2:$E$721,"Third Term")</f>
        <v>88.666666666666671</v>
      </c>
      <c r="E190" s="4">
        <f t="shared" si="5"/>
        <v>-2.6666666666666572</v>
      </c>
      <c r="F190" t="str">
        <f t="shared" si="6"/>
        <v>Dropped</v>
      </c>
    </row>
    <row r="191" spans="1:6" x14ac:dyDescent="0.35">
      <c r="A191" s="9" t="s">
        <v>535</v>
      </c>
      <c r="B191" t="str">
        <f>_xlfn.XLOOKUP(A191,'Cleaned Data'!$A$2:$A$721,'Cleaned Data'!$B$2:$B$721)</f>
        <v>Tobi Onyeka</v>
      </c>
      <c r="C191" s="4">
        <f>AVERAGEIFS('Cleaned Data'!$M$2:$M$721,'Cleaned Data'!$A$2:$A$721,A191,'Cleaned Data'!$E$2:$E$721,"First Term")</f>
        <v>35.833333333333336</v>
      </c>
      <c r="D191" s="4">
        <f>AVERAGEIFS('Cleaned Data'!$M$2:$M$721,'Cleaned Data'!$A$2:$A$721,A191,'Cleaned Data'!$E$2:$E$721,"Third Term")</f>
        <v>48.5</v>
      </c>
      <c r="E191" s="4">
        <f t="shared" si="5"/>
        <v>12.666666666666664</v>
      </c>
      <c r="F191" t="str">
        <f t="shared" si="6"/>
        <v>Improved</v>
      </c>
    </row>
    <row r="192" spans="1:6" x14ac:dyDescent="0.35">
      <c r="A192" s="8" t="s">
        <v>538</v>
      </c>
      <c r="B192" t="str">
        <f>_xlfn.XLOOKUP(A192,'Cleaned Data'!$A$2:$A$721,'Cleaned Data'!$B$2:$B$721)</f>
        <v>Hauwa Aliyu</v>
      </c>
      <c r="C192" s="4">
        <f>AVERAGEIFS('Cleaned Data'!$M$2:$M$721,'Cleaned Data'!$A$2:$A$721,A192,'Cleaned Data'!$E$2:$E$721,"First Term")</f>
        <v>74.333333333333329</v>
      </c>
      <c r="D192" s="4">
        <f>AVERAGEIFS('Cleaned Data'!$M$2:$M$721,'Cleaned Data'!$A$2:$A$721,A192,'Cleaned Data'!$E$2:$E$721,"Third Term")</f>
        <v>75.666666666666671</v>
      </c>
      <c r="E192" s="4">
        <f t="shared" si="5"/>
        <v>1.3333333333333428</v>
      </c>
      <c r="F192" t="str">
        <f t="shared" si="6"/>
        <v>Improved</v>
      </c>
    </row>
    <row r="193" spans="1:6" x14ac:dyDescent="0.35">
      <c r="A193" s="9" t="s">
        <v>541</v>
      </c>
      <c r="B193" t="str">
        <f>_xlfn.XLOOKUP(A193,'Cleaned Data'!$A$2:$A$721,'Cleaned Data'!$B$2:$B$721)</f>
        <v>Blessing Amadi</v>
      </c>
      <c r="C193" s="4">
        <f>AVERAGEIFS('Cleaned Data'!$M$2:$M$721,'Cleaned Data'!$A$2:$A$721,A193,'Cleaned Data'!$E$2:$E$721,"First Term")</f>
        <v>41.166666666666664</v>
      </c>
      <c r="D193" s="4">
        <f>AVERAGEIFS('Cleaned Data'!$M$2:$M$721,'Cleaned Data'!$A$2:$A$721,A193,'Cleaned Data'!$E$2:$E$721,"Third Term")</f>
        <v>45.333333333333336</v>
      </c>
      <c r="E193" s="4">
        <f t="shared" si="5"/>
        <v>4.1666666666666714</v>
      </c>
      <c r="F193" t="str">
        <f t="shared" si="6"/>
        <v>Improved</v>
      </c>
    </row>
    <row r="194" spans="1:6" x14ac:dyDescent="0.35">
      <c r="A194" s="8" t="s">
        <v>544</v>
      </c>
      <c r="B194" t="str">
        <f>_xlfn.XLOOKUP(A194,'Cleaned Data'!$A$2:$A$721,'Cleaned Data'!$B$2:$B$721)</f>
        <v>Grace Ekpo</v>
      </c>
      <c r="C194" s="4">
        <f>AVERAGEIFS('Cleaned Data'!$M$2:$M$721,'Cleaned Data'!$A$2:$A$721,A194,'Cleaned Data'!$E$2:$E$721,"First Term")</f>
        <v>67.666666666666671</v>
      </c>
      <c r="D194" s="4">
        <f>AVERAGEIFS('Cleaned Data'!$M$2:$M$721,'Cleaned Data'!$A$2:$A$721,A194,'Cleaned Data'!$E$2:$E$721,"Third Term")</f>
        <v>75.666666666666671</v>
      </c>
      <c r="E194" s="4">
        <f t="shared" ref="E194:E241" si="7">D194-C194</f>
        <v>8</v>
      </c>
      <c r="F194" t="str">
        <f t="shared" ref="F194:F241" si="8">IF(E194&gt;0,"Improved",IF(E194&lt;0,"Dropped","Unchanged"))</f>
        <v>Improved</v>
      </c>
    </row>
    <row r="195" spans="1:6" x14ac:dyDescent="0.35">
      <c r="A195" s="9" t="s">
        <v>547</v>
      </c>
      <c r="B195" t="str">
        <f>_xlfn.XLOOKUP(A195,'Cleaned Data'!$A$2:$A$721,'Cleaned Data'!$B$2:$B$721)</f>
        <v>Obiageli Ojo</v>
      </c>
      <c r="C195" s="4">
        <f>AVERAGEIFS('Cleaned Data'!$M$2:$M$721,'Cleaned Data'!$A$2:$A$721,A195,'Cleaned Data'!$E$2:$E$721,"First Term")</f>
        <v>58.833333333333336</v>
      </c>
      <c r="D195" s="4">
        <f>AVERAGEIFS('Cleaned Data'!$M$2:$M$721,'Cleaned Data'!$A$2:$A$721,A195,'Cleaned Data'!$E$2:$E$721,"Third Term")</f>
        <v>66</v>
      </c>
      <c r="E195" s="4">
        <f t="shared" si="7"/>
        <v>7.1666666666666643</v>
      </c>
      <c r="F195" t="str">
        <f t="shared" si="8"/>
        <v>Improved</v>
      </c>
    </row>
    <row r="196" spans="1:6" x14ac:dyDescent="0.35">
      <c r="A196" s="8" t="s">
        <v>550</v>
      </c>
      <c r="B196" t="str">
        <f>_xlfn.XLOOKUP(A196,'Cleaned Data'!$A$2:$A$721,'Cleaned Data'!$B$2:$B$721)</f>
        <v>Gbenga Oladipo</v>
      </c>
      <c r="C196" s="4">
        <f>AVERAGEIFS('Cleaned Data'!$M$2:$M$721,'Cleaned Data'!$A$2:$A$721,A196,'Cleaned Data'!$E$2:$E$721,"First Term")</f>
        <v>46</v>
      </c>
      <c r="D196" s="4">
        <f>AVERAGEIFS('Cleaned Data'!$M$2:$M$721,'Cleaned Data'!$A$2:$A$721,A196,'Cleaned Data'!$E$2:$E$721,"Third Term")</f>
        <v>49.833333333333336</v>
      </c>
      <c r="E196" s="4">
        <f t="shared" si="7"/>
        <v>3.8333333333333357</v>
      </c>
      <c r="F196" t="str">
        <f t="shared" si="8"/>
        <v>Improved</v>
      </c>
    </row>
    <row r="197" spans="1:6" x14ac:dyDescent="0.35">
      <c r="A197" s="9" t="s">
        <v>552</v>
      </c>
      <c r="B197" t="str">
        <f>_xlfn.XLOOKUP(A197,'Cleaned Data'!$A$2:$A$721,'Cleaned Data'!$B$2:$B$721)</f>
        <v>Musa Nwankwo</v>
      </c>
      <c r="C197" s="4">
        <f>AVERAGEIFS('Cleaned Data'!$M$2:$M$721,'Cleaned Data'!$A$2:$A$721,A197,'Cleaned Data'!$E$2:$E$721,"First Term")</f>
        <v>42.666666666666664</v>
      </c>
      <c r="D197" s="4">
        <f>AVERAGEIFS('Cleaned Data'!$M$2:$M$721,'Cleaned Data'!$A$2:$A$721,A197,'Cleaned Data'!$E$2:$E$721,"Third Term")</f>
        <v>65.833333333333329</v>
      </c>
      <c r="E197" s="4">
        <f t="shared" si="7"/>
        <v>23.166666666666664</v>
      </c>
      <c r="F197" t="str">
        <f t="shared" si="8"/>
        <v>Improved</v>
      </c>
    </row>
    <row r="198" spans="1:6" x14ac:dyDescent="0.35">
      <c r="A198" s="8" t="s">
        <v>555</v>
      </c>
      <c r="B198" t="str">
        <f>_xlfn.XLOOKUP(A198,'Cleaned Data'!$A$2:$A$721,'Cleaned Data'!$B$2:$B$721)</f>
        <v>Ngozi Suleiman</v>
      </c>
      <c r="C198" s="4">
        <f>AVERAGEIFS('Cleaned Data'!$M$2:$M$721,'Cleaned Data'!$A$2:$A$721,A198,'Cleaned Data'!$E$2:$E$721,"First Term")</f>
        <v>58.833333333333336</v>
      </c>
      <c r="D198" s="4">
        <f>AVERAGEIFS('Cleaned Data'!$M$2:$M$721,'Cleaned Data'!$A$2:$A$721,A198,'Cleaned Data'!$E$2:$E$721,"Third Term")</f>
        <v>61.666666666666664</v>
      </c>
      <c r="E198" s="4">
        <f t="shared" si="7"/>
        <v>2.8333333333333286</v>
      </c>
      <c r="F198" t="str">
        <f t="shared" si="8"/>
        <v>Improved</v>
      </c>
    </row>
    <row r="199" spans="1:6" x14ac:dyDescent="0.35">
      <c r="A199" s="9" t="s">
        <v>558</v>
      </c>
      <c r="B199" t="str">
        <f>_xlfn.XLOOKUP(A199,'Cleaned Data'!$A$2:$A$721,'Cleaned Data'!$B$2:$B$721)</f>
        <v>Aisha Salami</v>
      </c>
      <c r="C199" s="4">
        <f>AVERAGEIFS('Cleaned Data'!$M$2:$M$721,'Cleaned Data'!$A$2:$A$721,A199,'Cleaned Data'!$E$2:$E$721,"First Term")</f>
        <v>45.666666666666664</v>
      </c>
      <c r="D199" s="4">
        <f>AVERAGEIFS('Cleaned Data'!$M$2:$M$721,'Cleaned Data'!$A$2:$A$721,A199,'Cleaned Data'!$E$2:$E$721,"Third Term")</f>
        <v>58.833333333333336</v>
      </c>
      <c r="E199" s="4">
        <f t="shared" si="7"/>
        <v>13.166666666666671</v>
      </c>
      <c r="F199" t="str">
        <f t="shared" si="8"/>
        <v>Improved</v>
      </c>
    </row>
    <row r="200" spans="1:6" x14ac:dyDescent="0.35">
      <c r="A200" s="8" t="s">
        <v>561</v>
      </c>
      <c r="B200" t="str">
        <f>_xlfn.XLOOKUP(A200,'Cleaned Data'!$A$2:$A$721,'Cleaned Data'!$B$2:$B$721)</f>
        <v>Obiageli Okonkwo</v>
      </c>
      <c r="C200" s="4">
        <f>AVERAGEIFS('Cleaned Data'!$M$2:$M$721,'Cleaned Data'!$A$2:$A$721,A200,'Cleaned Data'!$E$2:$E$721,"First Term")</f>
        <v>39.166666666666664</v>
      </c>
      <c r="D200" s="4">
        <f>AVERAGEIFS('Cleaned Data'!$M$2:$M$721,'Cleaned Data'!$A$2:$A$721,A200,'Cleaned Data'!$E$2:$E$721,"Third Term")</f>
        <v>47.5</v>
      </c>
      <c r="E200" s="4">
        <f t="shared" si="7"/>
        <v>8.3333333333333357</v>
      </c>
      <c r="F200" t="str">
        <f t="shared" si="8"/>
        <v>Improved</v>
      </c>
    </row>
    <row r="201" spans="1:6" x14ac:dyDescent="0.35">
      <c r="A201" s="9" t="s">
        <v>564</v>
      </c>
      <c r="B201" t="str">
        <f>_xlfn.XLOOKUP(A201,'Cleaned Data'!$A$2:$A$721,'Cleaned Data'!$B$2:$B$721)</f>
        <v>Kelechi Williams</v>
      </c>
      <c r="C201" s="4">
        <f>AVERAGEIFS('Cleaned Data'!$M$2:$M$721,'Cleaned Data'!$A$2:$A$721,A201,'Cleaned Data'!$E$2:$E$721,"First Term")</f>
        <v>62.166666666666664</v>
      </c>
      <c r="D201" s="4">
        <f>AVERAGEIFS('Cleaned Data'!$M$2:$M$721,'Cleaned Data'!$A$2:$A$721,A201,'Cleaned Data'!$E$2:$E$721,"Third Term")</f>
        <v>81.666666666666671</v>
      </c>
      <c r="E201" s="4">
        <f t="shared" si="7"/>
        <v>19.500000000000007</v>
      </c>
      <c r="F201" t="str">
        <f t="shared" si="8"/>
        <v>Improved</v>
      </c>
    </row>
    <row r="202" spans="1:6" x14ac:dyDescent="0.35">
      <c r="A202" s="8" t="s">
        <v>566</v>
      </c>
      <c r="B202" t="str">
        <f>_xlfn.XLOOKUP(A202,'Cleaned Data'!$A$2:$A$721,'Cleaned Data'!$B$2:$B$721)</f>
        <v>Ifeoma Yakubu</v>
      </c>
      <c r="C202" s="4">
        <f>AVERAGEIFS('Cleaned Data'!$M$2:$M$721,'Cleaned Data'!$A$2:$A$721,A202,'Cleaned Data'!$E$2:$E$721,"First Term")</f>
        <v>43.5</v>
      </c>
      <c r="D202" s="4">
        <f>AVERAGEIFS('Cleaned Data'!$M$2:$M$721,'Cleaned Data'!$A$2:$A$721,A202,'Cleaned Data'!$E$2:$E$721,"Third Term")</f>
        <v>49.166666666666664</v>
      </c>
      <c r="E202" s="4">
        <f t="shared" si="7"/>
        <v>5.6666666666666643</v>
      </c>
      <c r="F202" t="str">
        <f t="shared" si="8"/>
        <v>Improved</v>
      </c>
    </row>
    <row r="203" spans="1:6" x14ac:dyDescent="0.35">
      <c r="A203" s="9" t="s">
        <v>570</v>
      </c>
      <c r="B203" t="str">
        <f>_xlfn.XLOOKUP(A203,'Cleaned Data'!$A$2:$A$721,'Cleaned Data'!$B$2:$B$721)</f>
        <v>Ibrahim Nwankwo</v>
      </c>
      <c r="C203" s="4">
        <f>AVERAGEIFS('Cleaned Data'!$M$2:$M$721,'Cleaned Data'!$A$2:$A$721,A203,'Cleaned Data'!$E$2:$E$721,"First Term")</f>
        <v>59.333333333333336</v>
      </c>
      <c r="D203" s="4">
        <f>AVERAGEIFS('Cleaned Data'!$M$2:$M$721,'Cleaned Data'!$A$2:$A$721,A203,'Cleaned Data'!$E$2:$E$721,"Third Term")</f>
        <v>79.666666666666671</v>
      </c>
      <c r="E203" s="4">
        <f t="shared" si="7"/>
        <v>20.333333333333336</v>
      </c>
      <c r="F203" t="str">
        <f t="shared" si="8"/>
        <v>Improved</v>
      </c>
    </row>
    <row r="204" spans="1:6" x14ac:dyDescent="0.35">
      <c r="A204" s="8" t="s">
        <v>573</v>
      </c>
      <c r="B204" t="str">
        <f>_xlfn.XLOOKUP(A204,'Cleaned Data'!$A$2:$A$721,'Cleaned Data'!$B$2:$B$721)</f>
        <v>Sani Ogbonna</v>
      </c>
      <c r="C204" s="4">
        <f>AVERAGEIFS('Cleaned Data'!$M$2:$M$721,'Cleaned Data'!$A$2:$A$721,A204,'Cleaned Data'!$E$2:$E$721,"First Term")</f>
        <v>56</v>
      </c>
      <c r="D204" s="4">
        <f>AVERAGEIFS('Cleaned Data'!$M$2:$M$721,'Cleaned Data'!$A$2:$A$721,A204,'Cleaned Data'!$E$2:$E$721,"Third Term")</f>
        <v>60.833333333333336</v>
      </c>
      <c r="E204" s="4">
        <f t="shared" si="7"/>
        <v>4.8333333333333357</v>
      </c>
      <c r="F204" t="str">
        <f t="shared" si="8"/>
        <v>Improved</v>
      </c>
    </row>
    <row r="205" spans="1:6" x14ac:dyDescent="0.35">
      <c r="A205" s="9" t="s">
        <v>575</v>
      </c>
      <c r="B205" t="str">
        <f>_xlfn.XLOOKUP(A205,'Cleaned Data'!$A$2:$A$721,'Cleaned Data'!$B$2:$B$721)</f>
        <v>Chiamaka Ogundipe</v>
      </c>
      <c r="C205" s="4">
        <f>AVERAGEIFS('Cleaned Data'!$M$2:$M$721,'Cleaned Data'!$A$2:$A$721,A205,'Cleaned Data'!$E$2:$E$721,"First Term")</f>
        <v>31.833333333333332</v>
      </c>
      <c r="D205" s="4">
        <f>AVERAGEIFS('Cleaned Data'!$M$2:$M$721,'Cleaned Data'!$A$2:$A$721,A205,'Cleaned Data'!$E$2:$E$721,"Third Term")</f>
        <v>38.166666666666664</v>
      </c>
      <c r="E205" s="4">
        <f t="shared" si="7"/>
        <v>6.3333333333333321</v>
      </c>
      <c r="F205" t="str">
        <f t="shared" si="8"/>
        <v>Improved</v>
      </c>
    </row>
    <row r="206" spans="1:6" x14ac:dyDescent="0.35">
      <c r="A206" s="8" t="s">
        <v>581</v>
      </c>
      <c r="B206" t="str">
        <f>_xlfn.XLOOKUP(A206,'Cleaned Data'!$A$2:$A$721,'Cleaned Data'!$B$2:$B$721)</f>
        <v>Tobi Oyewole</v>
      </c>
      <c r="C206" s="4">
        <f>AVERAGEIFS('Cleaned Data'!$M$2:$M$721,'Cleaned Data'!$A$2:$A$721,A206,'Cleaned Data'!$E$2:$E$721,"First Term")</f>
        <v>69.333333333333329</v>
      </c>
      <c r="D206" s="4">
        <f>AVERAGEIFS('Cleaned Data'!$M$2:$M$721,'Cleaned Data'!$A$2:$A$721,A206,'Cleaned Data'!$E$2:$E$721,"Third Term")</f>
        <v>75</v>
      </c>
      <c r="E206" s="4">
        <f t="shared" si="7"/>
        <v>5.6666666666666714</v>
      </c>
      <c r="F206" t="str">
        <f t="shared" si="8"/>
        <v>Improved</v>
      </c>
    </row>
    <row r="207" spans="1:6" x14ac:dyDescent="0.35">
      <c r="A207" s="9" t="s">
        <v>584</v>
      </c>
      <c r="B207" t="str">
        <f>_xlfn.XLOOKUP(A207,'Cleaned Data'!$A$2:$A$721,'Cleaned Data'!$B$2:$B$721)</f>
        <v>Aminu Abubakar</v>
      </c>
      <c r="C207" s="4">
        <f>AVERAGEIFS('Cleaned Data'!$M$2:$M$721,'Cleaned Data'!$A$2:$A$721,A207,'Cleaned Data'!$E$2:$E$721,"First Term")</f>
        <v>58.166666666666664</v>
      </c>
      <c r="D207" s="4">
        <f>AVERAGEIFS('Cleaned Data'!$M$2:$M$721,'Cleaned Data'!$A$2:$A$721,A207,'Cleaned Data'!$E$2:$E$721,"Third Term")</f>
        <v>77.5</v>
      </c>
      <c r="E207" s="4">
        <f t="shared" si="7"/>
        <v>19.333333333333336</v>
      </c>
      <c r="F207" t="str">
        <f t="shared" si="8"/>
        <v>Improved</v>
      </c>
    </row>
    <row r="208" spans="1:6" x14ac:dyDescent="0.35">
      <c r="A208" s="8" t="s">
        <v>586</v>
      </c>
      <c r="B208" t="str">
        <f>_xlfn.XLOOKUP(A208,'Cleaned Data'!$A$2:$A$721,'Cleaned Data'!$B$2:$B$721)</f>
        <v>Michael Ojo</v>
      </c>
      <c r="C208" s="4">
        <f>AVERAGEIFS('Cleaned Data'!$M$2:$M$721,'Cleaned Data'!$A$2:$A$721,A208,'Cleaned Data'!$E$2:$E$721,"First Term")</f>
        <v>81.166666666666671</v>
      </c>
      <c r="D208" s="4">
        <f>AVERAGEIFS('Cleaned Data'!$M$2:$M$721,'Cleaned Data'!$A$2:$A$721,A208,'Cleaned Data'!$E$2:$E$721,"Third Term")</f>
        <v>82.166666666666671</v>
      </c>
      <c r="E208" s="4">
        <f t="shared" si="7"/>
        <v>1</v>
      </c>
      <c r="F208" t="str">
        <f t="shared" si="8"/>
        <v>Improved</v>
      </c>
    </row>
    <row r="209" spans="1:6" x14ac:dyDescent="0.35">
      <c r="A209" s="9" t="s">
        <v>588</v>
      </c>
      <c r="B209" t="str">
        <f>_xlfn.XLOOKUP(A209,'Cleaned Data'!$A$2:$A$721,'Cleaned Data'!$B$2:$B$721)</f>
        <v>David Olawale</v>
      </c>
      <c r="C209" s="4">
        <f>AVERAGEIFS('Cleaned Data'!$M$2:$M$721,'Cleaned Data'!$A$2:$A$721,A209,'Cleaned Data'!$E$2:$E$721,"First Term")</f>
        <v>31</v>
      </c>
      <c r="D209" s="4">
        <f>AVERAGEIFS('Cleaned Data'!$M$2:$M$721,'Cleaned Data'!$A$2:$A$721,A209,'Cleaned Data'!$E$2:$E$721,"Third Term")</f>
        <v>27.833333333333332</v>
      </c>
      <c r="E209" s="4">
        <f t="shared" si="7"/>
        <v>-3.1666666666666679</v>
      </c>
      <c r="F209" t="str">
        <f t="shared" si="8"/>
        <v>Dropped</v>
      </c>
    </row>
    <row r="210" spans="1:6" x14ac:dyDescent="0.35">
      <c r="A210" s="8" t="s">
        <v>590</v>
      </c>
      <c r="B210" t="str">
        <f>_xlfn.XLOOKUP(A210,'Cleaned Data'!$A$2:$A$721,'Cleaned Data'!$B$2:$B$721)</f>
        <v>Kunle Thomas</v>
      </c>
      <c r="C210" s="4">
        <f>AVERAGEIFS('Cleaned Data'!$M$2:$M$721,'Cleaned Data'!$A$2:$A$721,A210,'Cleaned Data'!$E$2:$E$721,"First Term")</f>
        <v>52.5</v>
      </c>
      <c r="D210" s="4">
        <f>AVERAGEIFS('Cleaned Data'!$M$2:$M$721,'Cleaned Data'!$A$2:$A$721,A210,'Cleaned Data'!$E$2:$E$721,"Third Term")</f>
        <v>62.166666666666664</v>
      </c>
      <c r="E210" s="4">
        <f t="shared" si="7"/>
        <v>9.6666666666666643</v>
      </c>
      <c r="F210" t="str">
        <f t="shared" si="8"/>
        <v>Improved</v>
      </c>
    </row>
    <row r="211" spans="1:6" x14ac:dyDescent="0.35">
      <c r="A211" s="9" t="s">
        <v>592</v>
      </c>
      <c r="B211" t="str">
        <f>_xlfn.XLOOKUP(A211,'Cleaned Data'!$A$2:$A$721,'Cleaned Data'!$B$2:$B$721)</f>
        <v>Mercy Afolabi</v>
      </c>
      <c r="C211" s="4">
        <f>AVERAGEIFS('Cleaned Data'!$M$2:$M$721,'Cleaned Data'!$A$2:$A$721,A211,'Cleaned Data'!$E$2:$E$721,"First Term")</f>
        <v>67.833333333333329</v>
      </c>
      <c r="D211" s="4">
        <f>AVERAGEIFS('Cleaned Data'!$M$2:$M$721,'Cleaned Data'!$A$2:$A$721,A211,'Cleaned Data'!$E$2:$E$721,"Third Term")</f>
        <v>51.5</v>
      </c>
      <c r="E211" s="4">
        <f t="shared" si="7"/>
        <v>-16.333333333333329</v>
      </c>
      <c r="F211" t="str">
        <f t="shared" si="8"/>
        <v>Dropped</v>
      </c>
    </row>
    <row r="212" spans="1:6" x14ac:dyDescent="0.35">
      <c r="A212" s="8" t="s">
        <v>594</v>
      </c>
      <c r="B212" t="str">
        <f>_xlfn.XLOOKUP(A212,'Cleaned Data'!$A$2:$A$721,'Cleaned Data'!$B$2:$B$721)</f>
        <v>Nkechi Okonkwo</v>
      </c>
      <c r="C212" s="4">
        <f>AVERAGEIFS('Cleaned Data'!$M$2:$M$721,'Cleaned Data'!$A$2:$A$721,A212,'Cleaned Data'!$E$2:$E$721,"First Term")</f>
        <v>56.833333333333336</v>
      </c>
      <c r="D212" s="4">
        <f>AVERAGEIFS('Cleaned Data'!$M$2:$M$721,'Cleaned Data'!$A$2:$A$721,A212,'Cleaned Data'!$E$2:$E$721,"Third Term")</f>
        <v>69.166666666666671</v>
      </c>
      <c r="E212" s="4">
        <f t="shared" si="7"/>
        <v>12.333333333333336</v>
      </c>
      <c r="F212" t="str">
        <f t="shared" si="8"/>
        <v>Improved</v>
      </c>
    </row>
    <row r="213" spans="1:6" x14ac:dyDescent="0.35">
      <c r="A213" s="9" t="s">
        <v>598</v>
      </c>
      <c r="B213" t="str">
        <f>_xlfn.XLOOKUP(A213,'Cleaned Data'!$A$2:$A$721,'Cleaned Data'!$B$2:$B$721)</f>
        <v>Chioma Adebayo</v>
      </c>
      <c r="C213" s="4">
        <f>AVERAGEIFS('Cleaned Data'!$M$2:$M$721,'Cleaned Data'!$A$2:$A$721,A213,'Cleaned Data'!$E$2:$E$721,"First Term")</f>
        <v>57.666666666666664</v>
      </c>
      <c r="D213" s="4">
        <f>AVERAGEIFS('Cleaned Data'!$M$2:$M$721,'Cleaned Data'!$A$2:$A$721,A213,'Cleaned Data'!$E$2:$E$721,"Third Term")</f>
        <v>58.833333333333336</v>
      </c>
      <c r="E213" s="4">
        <f t="shared" si="7"/>
        <v>1.1666666666666714</v>
      </c>
      <c r="F213" t="str">
        <f t="shared" si="8"/>
        <v>Improved</v>
      </c>
    </row>
    <row r="214" spans="1:6" x14ac:dyDescent="0.35">
      <c r="A214" s="8" t="s">
        <v>601</v>
      </c>
      <c r="B214" t="str">
        <f>_xlfn.XLOOKUP(A214,'Cleaned Data'!$A$2:$A$721,'Cleaned Data'!$B$2:$B$721)</f>
        <v>Tolu Williams</v>
      </c>
      <c r="C214" s="4">
        <f>AVERAGEIFS('Cleaned Data'!$M$2:$M$721,'Cleaned Data'!$A$2:$A$721,A214,'Cleaned Data'!$E$2:$E$721,"First Term")</f>
        <v>86</v>
      </c>
      <c r="D214" s="4">
        <f>AVERAGEIFS('Cleaned Data'!$M$2:$M$721,'Cleaned Data'!$A$2:$A$721,A214,'Cleaned Data'!$E$2:$E$721,"Third Term")</f>
        <v>89.5</v>
      </c>
      <c r="E214" s="4">
        <f t="shared" si="7"/>
        <v>3.5</v>
      </c>
      <c r="F214" t="str">
        <f t="shared" si="8"/>
        <v>Improved</v>
      </c>
    </row>
    <row r="215" spans="1:6" x14ac:dyDescent="0.35">
      <c r="A215" s="9" t="s">
        <v>604</v>
      </c>
      <c r="B215" t="str">
        <f>_xlfn.XLOOKUP(A215,'Cleaned Data'!$A$2:$A$721,'Cleaned Data'!$B$2:$B$721)</f>
        <v>Amaka Nwankwo</v>
      </c>
      <c r="C215" s="4">
        <f>AVERAGEIFS('Cleaned Data'!$M$2:$M$721,'Cleaned Data'!$A$2:$A$721,A215,'Cleaned Data'!$E$2:$E$721,"First Term")</f>
        <v>50.833333333333336</v>
      </c>
      <c r="D215" s="4">
        <f>AVERAGEIFS('Cleaned Data'!$M$2:$M$721,'Cleaned Data'!$A$2:$A$721,A215,'Cleaned Data'!$E$2:$E$721,"Third Term")</f>
        <v>63.333333333333336</v>
      </c>
      <c r="E215" s="4">
        <f t="shared" si="7"/>
        <v>12.5</v>
      </c>
      <c r="F215" t="str">
        <f t="shared" si="8"/>
        <v>Improved</v>
      </c>
    </row>
    <row r="216" spans="1:6" x14ac:dyDescent="0.35">
      <c r="A216" s="8" t="s">
        <v>607</v>
      </c>
      <c r="B216" t="str">
        <f>_xlfn.XLOOKUP(A216,'Cleaned Data'!$A$2:$A$721,'Cleaned Data'!$B$2:$B$721)</f>
        <v>Uchenna Oyewole</v>
      </c>
      <c r="C216" s="4">
        <f>AVERAGEIFS('Cleaned Data'!$M$2:$M$721,'Cleaned Data'!$A$2:$A$721,A216,'Cleaned Data'!$E$2:$E$721,"First Term")</f>
        <v>56.166666666666664</v>
      </c>
      <c r="D216" s="4">
        <f>AVERAGEIFS('Cleaned Data'!$M$2:$M$721,'Cleaned Data'!$A$2:$A$721,A216,'Cleaned Data'!$E$2:$E$721,"Third Term")</f>
        <v>64.833333333333329</v>
      </c>
      <c r="E216" s="4">
        <f t="shared" si="7"/>
        <v>8.6666666666666643</v>
      </c>
      <c r="F216" t="str">
        <f t="shared" si="8"/>
        <v>Improved</v>
      </c>
    </row>
    <row r="217" spans="1:6" x14ac:dyDescent="0.35">
      <c r="A217" s="9" t="s">
        <v>610</v>
      </c>
      <c r="B217" t="str">
        <f>_xlfn.XLOOKUP(A217,'Cleaned Data'!$A$2:$A$721,'Cleaned Data'!$B$2:$B$721)</f>
        <v>Adesua Nwosu</v>
      </c>
      <c r="C217" s="4">
        <f>AVERAGEIFS('Cleaned Data'!$M$2:$M$721,'Cleaned Data'!$A$2:$A$721,A217,'Cleaned Data'!$E$2:$E$721,"First Term")</f>
        <v>74.166666666666671</v>
      </c>
      <c r="D217" s="4">
        <f>AVERAGEIFS('Cleaned Data'!$M$2:$M$721,'Cleaned Data'!$A$2:$A$721,A217,'Cleaned Data'!$E$2:$E$721,"Third Term")</f>
        <v>83</v>
      </c>
      <c r="E217" s="4">
        <f t="shared" si="7"/>
        <v>8.8333333333333286</v>
      </c>
      <c r="F217" t="str">
        <f t="shared" si="8"/>
        <v>Improved</v>
      </c>
    </row>
    <row r="218" spans="1:6" x14ac:dyDescent="0.35">
      <c r="A218" s="8" t="s">
        <v>612</v>
      </c>
      <c r="B218" t="str">
        <f>_xlfn.XLOOKUP(A218,'Cleaned Data'!$A$2:$A$721,'Cleaned Data'!$B$2:$B$721)</f>
        <v>Tunde Oladipo</v>
      </c>
      <c r="C218" s="4">
        <f>AVERAGEIFS('Cleaned Data'!$M$2:$M$721,'Cleaned Data'!$A$2:$A$721,A218,'Cleaned Data'!$E$2:$E$721,"First Term")</f>
        <v>71</v>
      </c>
      <c r="D218" s="4">
        <f>AVERAGEIFS('Cleaned Data'!$M$2:$M$721,'Cleaned Data'!$A$2:$A$721,A218,'Cleaned Data'!$E$2:$E$721,"Third Term")</f>
        <v>76</v>
      </c>
      <c r="E218" s="4">
        <f t="shared" si="7"/>
        <v>5</v>
      </c>
      <c r="F218" t="str">
        <f t="shared" si="8"/>
        <v>Improved</v>
      </c>
    </row>
    <row r="219" spans="1:6" x14ac:dyDescent="0.35">
      <c r="A219" s="9" t="s">
        <v>614</v>
      </c>
      <c r="B219" t="str">
        <f>_xlfn.XLOOKUP(A219,'Cleaned Data'!$A$2:$A$721,'Cleaned Data'!$B$2:$B$721)</f>
        <v>Precious Aliyu</v>
      </c>
      <c r="C219" s="4">
        <f>AVERAGEIFS('Cleaned Data'!$M$2:$M$721,'Cleaned Data'!$A$2:$A$721,A219,'Cleaned Data'!$E$2:$E$721,"First Term")</f>
        <v>76.166666666666671</v>
      </c>
      <c r="D219" s="4">
        <f>AVERAGEIFS('Cleaned Data'!$M$2:$M$721,'Cleaned Data'!$A$2:$A$721,A219,'Cleaned Data'!$E$2:$E$721,"Third Term")</f>
        <v>80.166666666666671</v>
      </c>
      <c r="E219" s="4">
        <f t="shared" si="7"/>
        <v>4</v>
      </c>
      <c r="F219" t="str">
        <f t="shared" si="8"/>
        <v>Improved</v>
      </c>
    </row>
    <row r="220" spans="1:6" x14ac:dyDescent="0.35">
      <c r="A220" s="8" t="s">
        <v>617</v>
      </c>
      <c r="B220" t="str">
        <f>_xlfn.XLOOKUP(A220,'Cleaned Data'!$A$2:$A$721,'Cleaned Data'!$B$2:$B$721)</f>
        <v>Nnamdi Onyeka</v>
      </c>
      <c r="C220" s="4">
        <f>AVERAGEIFS('Cleaned Data'!$M$2:$M$721,'Cleaned Data'!$A$2:$A$721,A220,'Cleaned Data'!$E$2:$E$721,"First Term")</f>
        <v>72.833333333333329</v>
      </c>
      <c r="D220" s="4">
        <f>AVERAGEIFS('Cleaned Data'!$M$2:$M$721,'Cleaned Data'!$A$2:$A$721,A220,'Cleaned Data'!$E$2:$E$721,"Third Term")</f>
        <v>71.5</v>
      </c>
      <c r="E220" s="4">
        <f t="shared" si="7"/>
        <v>-1.3333333333333286</v>
      </c>
      <c r="F220" t="str">
        <f t="shared" si="8"/>
        <v>Dropped</v>
      </c>
    </row>
    <row r="221" spans="1:6" x14ac:dyDescent="0.35">
      <c r="A221" s="9" t="s">
        <v>619</v>
      </c>
      <c r="B221" t="str">
        <f>_xlfn.XLOOKUP(A221,'Cleaned Data'!$A$2:$A$721,'Cleaned Data'!$B$2:$B$721)</f>
        <v>Daniel Oyewole</v>
      </c>
      <c r="C221" s="4">
        <f>AVERAGEIFS('Cleaned Data'!$M$2:$M$721,'Cleaned Data'!$A$2:$A$721,A221,'Cleaned Data'!$E$2:$E$721,"First Term")</f>
        <v>72.333333333333329</v>
      </c>
      <c r="D221" s="4">
        <f>AVERAGEIFS('Cleaned Data'!$M$2:$M$721,'Cleaned Data'!$A$2:$A$721,A221,'Cleaned Data'!$E$2:$E$721,"Third Term")</f>
        <v>89.333333333333329</v>
      </c>
      <c r="E221" s="4">
        <f t="shared" si="7"/>
        <v>17</v>
      </c>
      <c r="F221" t="str">
        <f t="shared" si="8"/>
        <v>Improved</v>
      </c>
    </row>
    <row r="222" spans="1:6" x14ac:dyDescent="0.35">
      <c r="A222" s="8" t="s">
        <v>621</v>
      </c>
      <c r="B222" t="str">
        <f>_xlfn.XLOOKUP(A222,'Cleaned Data'!$A$2:$A$721,'Cleaned Data'!$B$2:$B$721)</f>
        <v>Damilola Johnson</v>
      </c>
      <c r="C222" s="4">
        <f>AVERAGEIFS('Cleaned Data'!$M$2:$M$721,'Cleaned Data'!$A$2:$A$721,A222,'Cleaned Data'!$E$2:$E$721,"First Term")</f>
        <v>65.666666666666671</v>
      </c>
      <c r="D222" s="4">
        <f>AVERAGEIFS('Cleaned Data'!$M$2:$M$721,'Cleaned Data'!$A$2:$A$721,A222,'Cleaned Data'!$E$2:$E$721,"Third Term")</f>
        <v>55.666666666666664</v>
      </c>
      <c r="E222" s="4">
        <f t="shared" si="7"/>
        <v>-10.000000000000007</v>
      </c>
      <c r="F222" t="str">
        <f t="shared" si="8"/>
        <v>Dropped</v>
      </c>
    </row>
    <row r="223" spans="1:6" x14ac:dyDescent="0.35">
      <c r="A223" s="9" t="s">
        <v>624</v>
      </c>
      <c r="B223" t="str">
        <f>_xlfn.XLOOKUP(A223,'Cleaned Data'!$A$2:$A$721,'Cleaned Data'!$B$2:$B$721)</f>
        <v>Samuel Chukwu</v>
      </c>
      <c r="C223" s="4">
        <f>AVERAGEIFS('Cleaned Data'!$M$2:$M$721,'Cleaned Data'!$A$2:$A$721,A223,'Cleaned Data'!$E$2:$E$721,"First Term")</f>
        <v>47.5</v>
      </c>
      <c r="D223" s="4">
        <f>AVERAGEIFS('Cleaned Data'!$M$2:$M$721,'Cleaned Data'!$A$2:$A$721,A223,'Cleaned Data'!$E$2:$E$721,"Third Term")</f>
        <v>62.833333333333336</v>
      </c>
      <c r="E223" s="4">
        <f t="shared" si="7"/>
        <v>15.333333333333336</v>
      </c>
      <c r="F223" t="str">
        <f t="shared" si="8"/>
        <v>Improved</v>
      </c>
    </row>
    <row r="224" spans="1:6" x14ac:dyDescent="0.35">
      <c r="A224" s="8" t="s">
        <v>626</v>
      </c>
      <c r="B224" t="str">
        <f>_xlfn.XLOOKUP(A224,'Cleaned Data'!$A$2:$A$721,'Cleaned Data'!$B$2:$B$721)</f>
        <v>Amaka Adebayo</v>
      </c>
      <c r="C224" s="4">
        <f>AVERAGEIFS('Cleaned Data'!$M$2:$M$721,'Cleaned Data'!$A$2:$A$721,A224,'Cleaned Data'!$E$2:$E$721,"First Term")</f>
        <v>59</v>
      </c>
      <c r="D224" s="4">
        <f>AVERAGEIFS('Cleaned Data'!$M$2:$M$721,'Cleaned Data'!$A$2:$A$721,A224,'Cleaned Data'!$E$2:$E$721,"Third Term")</f>
        <v>68.333333333333329</v>
      </c>
      <c r="E224" s="4">
        <f t="shared" si="7"/>
        <v>9.3333333333333286</v>
      </c>
      <c r="F224" t="str">
        <f t="shared" si="8"/>
        <v>Improved</v>
      </c>
    </row>
    <row r="225" spans="1:6" x14ac:dyDescent="0.35">
      <c r="A225" s="9" t="s">
        <v>628</v>
      </c>
      <c r="B225" t="str">
        <f>_xlfn.XLOOKUP(A225,'Cleaned Data'!$A$2:$A$721,'Cleaned Data'!$B$2:$B$721)</f>
        <v>Joy Ekpo</v>
      </c>
      <c r="C225" s="4">
        <f>AVERAGEIFS('Cleaned Data'!$M$2:$M$721,'Cleaned Data'!$A$2:$A$721,A225,'Cleaned Data'!$E$2:$E$721,"First Term")</f>
        <v>52.5</v>
      </c>
      <c r="D225" s="4">
        <f>AVERAGEIFS('Cleaned Data'!$M$2:$M$721,'Cleaned Data'!$A$2:$A$721,A225,'Cleaned Data'!$E$2:$E$721,"Third Term")</f>
        <v>60.166666666666664</v>
      </c>
      <c r="E225" s="4">
        <f t="shared" si="7"/>
        <v>7.6666666666666643</v>
      </c>
      <c r="F225" t="str">
        <f t="shared" si="8"/>
        <v>Improved</v>
      </c>
    </row>
    <row r="226" spans="1:6" x14ac:dyDescent="0.35">
      <c r="A226" s="8" t="s">
        <v>630</v>
      </c>
      <c r="B226" t="str">
        <f>_xlfn.XLOOKUP(A226,'Cleaned Data'!$A$2:$A$721,'Cleaned Data'!$B$2:$B$721)</f>
        <v>Joy Ojo</v>
      </c>
      <c r="C226" s="4">
        <f>AVERAGEIFS('Cleaned Data'!$M$2:$M$721,'Cleaned Data'!$A$2:$A$721,A226,'Cleaned Data'!$E$2:$E$721,"First Term")</f>
        <v>50.833333333333336</v>
      </c>
      <c r="D226" s="4">
        <f>AVERAGEIFS('Cleaned Data'!$M$2:$M$721,'Cleaned Data'!$A$2:$A$721,A226,'Cleaned Data'!$E$2:$E$721,"Third Term")</f>
        <v>73.666666666666671</v>
      </c>
      <c r="E226" s="4">
        <f t="shared" si="7"/>
        <v>22.833333333333336</v>
      </c>
      <c r="F226" t="str">
        <f t="shared" si="8"/>
        <v>Improved</v>
      </c>
    </row>
    <row r="227" spans="1:6" x14ac:dyDescent="0.35">
      <c r="A227" s="9" t="s">
        <v>633</v>
      </c>
      <c r="B227" t="str">
        <f>_xlfn.XLOOKUP(A227,'Cleaned Data'!$A$2:$A$721,'Cleaned Data'!$B$2:$B$721)</f>
        <v>Nnamdi Nwankwo</v>
      </c>
      <c r="C227" s="4">
        <f>AVERAGEIFS('Cleaned Data'!$M$2:$M$721,'Cleaned Data'!$A$2:$A$721,A227,'Cleaned Data'!$E$2:$E$721,"First Term")</f>
        <v>61.833333333333336</v>
      </c>
      <c r="D227" s="4">
        <f>AVERAGEIFS('Cleaned Data'!$M$2:$M$721,'Cleaned Data'!$A$2:$A$721,A227,'Cleaned Data'!$E$2:$E$721,"Third Term")</f>
        <v>70.833333333333329</v>
      </c>
      <c r="E227" s="4">
        <f t="shared" si="7"/>
        <v>8.9999999999999929</v>
      </c>
      <c r="F227" t="str">
        <f t="shared" si="8"/>
        <v>Improved</v>
      </c>
    </row>
    <row r="228" spans="1:6" x14ac:dyDescent="0.35">
      <c r="A228" s="8" t="s">
        <v>636</v>
      </c>
      <c r="B228" t="str">
        <f>_xlfn.XLOOKUP(A228,'Cleaned Data'!$A$2:$A$721,'Cleaned Data'!$B$2:$B$721)</f>
        <v>Grace Musa</v>
      </c>
      <c r="C228" s="4">
        <f>AVERAGEIFS('Cleaned Data'!$M$2:$M$721,'Cleaned Data'!$A$2:$A$721,A228,'Cleaned Data'!$E$2:$E$721,"First Term")</f>
        <v>68.833333333333329</v>
      </c>
      <c r="D228" s="4">
        <f>AVERAGEIFS('Cleaned Data'!$M$2:$M$721,'Cleaned Data'!$A$2:$A$721,A228,'Cleaned Data'!$E$2:$E$721,"Third Term")</f>
        <v>66.666666666666671</v>
      </c>
      <c r="E228" s="4">
        <f t="shared" si="7"/>
        <v>-2.1666666666666572</v>
      </c>
      <c r="F228" t="str">
        <f t="shared" si="8"/>
        <v>Dropped</v>
      </c>
    </row>
    <row r="229" spans="1:6" x14ac:dyDescent="0.35">
      <c r="A229" s="9" t="s">
        <v>638</v>
      </c>
      <c r="B229" t="str">
        <f>_xlfn.XLOOKUP(A229,'Cleaned Data'!$A$2:$A$721,'Cleaned Data'!$B$2:$B$721)</f>
        <v>Tolu Amadi</v>
      </c>
      <c r="C229" s="4">
        <f>AVERAGEIFS('Cleaned Data'!$M$2:$M$721,'Cleaned Data'!$A$2:$A$721,A229,'Cleaned Data'!$E$2:$E$721,"First Term")</f>
        <v>76.666666666666671</v>
      </c>
      <c r="D229" s="4">
        <f>AVERAGEIFS('Cleaned Data'!$M$2:$M$721,'Cleaned Data'!$A$2:$A$721,A229,'Cleaned Data'!$E$2:$E$721,"Third Term")</f>
        <v>77.5</v>
      </c>
      <c r="E229" s="4">
        <f t="shared" si="7"/>
        <v>0.8333333333333286</v>
      </c>
      <c r="F229" t="str">
        <f t="shared" si="8"/>
        <v>Improved</v>
      </c>
    </row>
    <row r="230" spans="1:6" x14ac:dyDescent="0.35">
      <c r="A230" s="8" t="s">
        <v>642</v>
      </c>
      <c r="B230" t="str">
        <f>_xlfn.XLOOKUP(A230,'Cleaned Data'!$A$2:$A$721,'Cleaned Data'!$B$2:$B$721)</f>
        <v>Fatima Anyanwu</v>
      </c>
      <c r="C230" s="4">
        <f>AVERAGEIFS('Cleaned Data'!$M$2:$M$721,'Cleaned Data'!$A$2:$A$721,A230,'Cleaned Data'!$E$2:$E$721,"First Term")</f>
        <v>49.5</v>
      </c>
      <c r="D230" s="4">
        <f>AVERAGEIFS('Cleaned Data'!$M$2:$M$721,'Cleaned Data'!$A$2:$A$721,A230,'Cleaned Data'!$E$2:$E$721,"Third Term")</f>
        <v>61.333333333333336</v>
      </c>
      <c r="E230" s="4">
        <f t="shared" si="7"/>
        <v>11.833333333333336</v>
      </c>
      <c r="F230" t="str">
        <f t="shared" si="8"/>
        <v>Improved</v>
      </c>
    </row>
    <row r="231" spans="1:6" x14ac:dyDescent="0.35">
      <c r="A231" s="9" t="s">
        <v>644</v>
      </c>
      <c r="B231" t="str">
        <f>_xlfn.XLOOKUP(A231,'Cleaned Data'!$A$2:$A$721,'Cleaned Data'!$B$2:$B$721)</f>
        <v>Gbenga Uzor</v>
      </c>
      <c r="C231" s="4">
        <f>AVERAGEIFS('Cleaned Data'!$M$2:$M$721,'Cleaned Data'!$A$2:$A$721,A231,'Cleaned Data'!$E$2:$E$721,"First Term")</f>
        <v>57.833333333333336</v>
      </c>
      <c r="D231" s="4">
        <f>AVERAGEIFS('Cleaned Data'!$M$2:$M$721,'Cleaned Data'!$A$2:$A$721,A231,'Cleaned Data'!$E$2:$E$721,"Third Term")</f>
        <v>52.5</v>
      </c>
      <c r="E231" s="4">
        <f t="shared" si="7"/>
        <v>-5.3333333333333357</v>
      </c>
      <c r="F231" t="str">
        <f t="shared" si="8"/>
        <v>Dropped</v>
      </c>
    </row>
    <row r="232" spans="1:6" x14ac:dyDescent="0.35">
      <c r="A232" s="8" t="s">
        <v>647</v>
      </c>
      <c r="B232" t="str">
        <f>_xlfn.XLOOKUP(A232,'Cleaned Data'!$A$2:$A$721,'Cleaned Data'!$B$2:$B$721)</f>
        <v>Bello Ezeh</v>
      </c>
      <c r="C232" s="4">
        <f>AVERAGEIFS('Cleaned Data'!$M$2:$M$721,'Cleaned Data'!$A$2:$A$721,A232,'Cleaned Data'!$E$2:$E$721,"First Term")</f>
        <v>56</v>
      </c>
      <c r="D232" s="4">
        <f>AVERAGEIFS('Cleaned Data'!$M$2:$M$721,'Cleaned Data'!$A$2:$A$721,A232,'Cleaned Data'!$E$2:$E$721,"Third Term")</f>
        <v>53.166666666666664</v>
      </c>
      <c r="E232" s="4">
        <f t="shared" si="7"/>
        <v>-2.8333333333333357</v>
      </c>
      <c r="F232" t="str">
        <f t="shared" si="8"/>
        <v>Dropped</v>
      </c>
    </row>
    <row r="233" spans="1:6" x14ac:dyDescent="0.35">
      <c r="A233" s="9" t="s">
        <v>650</v>
      </c>
      <c r="B233" t="str">
        <f>_xlfn.XLOOKUP(A233,'Cleaned Data'!$A$2:$A$721,'Cleaned Data'!$B$2:$B$721)</f>
        <v>Amaka Ogbonna</v>
      </c>
      <c r="C233" s="4">
        <f>AVERAGEIFS('Cleaned Data'!$M$2:$M$721,'Cleaned Data'!$A$2:$A$721,A233,'Cleaned Data'!$E$2:$E$721,"First Term")</f>
        <v>77.5</v>
      </c>
      <c r="D233" s="4">
        <f>AVERAGEIFS('Cleaned Data'!$M$2:$M$721,'Cleaned Data'!$A$2:$A$721,A233,'Cleaned Data'!$E$2:$E$721,"Third Term")</f>
        <v>80.333333333333329</v>
      </c>
      <c r="E233" s="4">
        <f t="shared" si="7"/>
        <v>2.8333333333333286</v>
      </c>
      <c r="F233" t="str">
        <f t="shared" si="8"/>
        <v>Improved</v>
      </c>
    </row>
    <row r="234" spans="1:6" x14ac:dyDescent="0.35">
      <c r="A234" s="8" t="s">
        <v>653</v>
      </c>
      <c r="B234" t="str">
        <f>_xlfn.XLOOKUP(A234,'Cleaned Data'!$A$2:$A$721,'Cleaned Data'!$B$2:$B$721)</f>
        <v>Ugochukwu Eke</v>
      </c>
      <c r="C234" s="4">
        <f>AVERAGEIFS('Cleaned Data'!$M$2:$M$721,'Cleaned Data'!$A$2:$A$721,A234,'Cleaned Data'!$E$2:$E$721,"First Term")</f>
        <v>56.166666666666664</v>
      </c>
      <c r="D234" s="4">
        <f>AVERAGEIFS('Cleaned Data'!$M$2:$M$721,'Cleaned Data'!$A$2:$A$721,A234,'Cleaned Data'!$E$2:$E$721,"Third Term")</f>
        <v>63</v>
      </c>
      <c r="E234" s="4">
        <f t="shared" si="7"/>
        <v>6.8333333333333357</v>
      </c>
      <c r="F234" t="str">
        <f t="shared" si="8"/>
        <v>Improved</v>
      </c>
    </row>
    <row r="235" spans="1:6" x14ac:dyDescent="0.35">
      <c r="A235" s="9" t="s">
        <v>657</v>
      </c>
      <c r="B235" t="str">
        <f>_xlfn.XLOOKUP(A235,'Cleaned Data'!$A$2:$A$721,'Cleaned Data'!$B$2:$B$721)</f>
        <v>Daniel Nnadi</v>
      </c>
      <c r="C235" s="4">
        <f>AVERAGEIFS('Cleaned Data'!$M$2:$M$721,'Cleaned Data'!$A$2:$A$721,A235,'Cleaned Data'!$E$2:$E$721,"First Term")</f>
        <v>62</v>
      </c>
      <c r="D235" s="4">
        <f>AVERAGEIFS('Cleaned Data'!$M$2:$M$721,'Cleaned Data'!$A$2:$A$721,A235,'Cleaned Data'!$E$2:$E$721,"Third Term")</f>
        <v>86</v>
      </c>
      <c r="E235" s="4">
        <f t="shared" si="7"/>
        <v>24</v>
      </c>
      <c r="F235" t="str">
        <f t="shared" si="8"/>
        <v>Improved</v>
      </c>
    </row>
    <row r="236" spans="1:6" x14ac:dyDescent="0.35">
      <c r="A236" s="8" t="s">
        <v>661</v>
      </c>
      <c r="B236" t="str">
        <f>_xlfn.XLOOKUP(A236,'Cleaned Data'!$A$2:$A$721,'Cleaned Data'!$B$2:$B$721)</f>
        <v>Samuel Olawale</v>
      </c>
      <c r="C236" s="4">
        <f>AVERAGEIFS('Cleaned Data'!$M$2:$M$721,'Cleaned Data'!$A$2:$A$721,A236,'Cleaned Data'!$E$2:$E$721,"First Term")</f>
        <v>71.666666666666671</v>
      </c>
      <c r="D236" s="4">
        <f>AVERAGEIFS('Cleaned Data'!$M$2:$M$721,'Cleaned Data'!$A$2:$A$721,A236,'Cleaned Data'!$E$2:$E$721,"Third Term")</f>
        <v>75.666666666666671</v>
      </c>
      <c r="E236" s="4">
        <f t="shared" si="7"/>
        <v>4</v>
      </c>
      <c r="F236" t="str">
        <f t="shared" si="8"/>
        <v>Improved</v>
      </c>
    </row>
    <row r="237" spans="1:6" x14ac:dyDescent="0.35">
      <c r="A237" s="9" t="s">
        <v>664</v>
      </c>
      <c r="B237" t="str">
        <f>_xlfn.XLOOKUP(A237,'Cleaned Data'!$A$2:$A$721,'Cleaned Data'!$B$2:$B$721)</f>
        <v>Chiamaka Ajayi</v>
      </c>
      <c r="C237" s="4">
        <f>AVERAGEIFS('Cleaned Data'!$M$2:$M$721,'Cleaned Data'!$A$2:$A$721,A237,'Cleaned Data'!$E$2:$E$721,"First Term")</f>
        <v>72.666666666666671</v>
      </c>
      <c r="D237" s="4">
        <f>AVERAGEIFS('Cleaned Data'!$M$2:$M$721,'Cleaned Data'!$A$2:$A$721,A237,'Cleaned Data'!$E$2:$E$721,"Third Term")</f>
        <v>74</v>
      </c>
      <c r="E237" s="4">
        <f t="shared" si="7"/>
        <v>1.3333333333333286</v>
      </c>
      <c r="F237" t="str">
        <f t="shared" si="8"/>
        <v>Improved</v>
      </c>
    </row>
    <row r="238" spans="1:6" x14ac:dyDescent="0.35">
      <c r="A238" s="8" t="s">
        <v>666</v>
      </c>
      <c r="B238" t="str">
        <f>_xlfn.XLOOKUP(A238,'Cleaned Data'!$A$2:$A$721,'Cleaned Data'!$B$2:$B$721)</f>
        <v>Musa Bakare</v>
      </c>
      <c r="C238" s="4">
        <f>AVERAGEIFS('Cleaned Data'!$M$2:$M$721,'Cleaned Data'!$A$2:$A$721,A238,'Cleaned Data'!$E$2:$E$721,"First Term")</f>
        <v>59</v>
      </c>
      <c r="D238" s="4">
        <f>AVERAGEIFS('Cleaned Data'!$M$2:$M$721,'Cleaned Data'!$A$2:$A$721,A238,'Cleaned Data'!$E$2:$E$721,"Third Term")</f>
        <v>77.166666666666671</v>
      </c>
      <c r="E238" s="4">
        <f t="shared" si="7"/>
        <v>18.166666666666671</v>
      </c>
      <c r="F238" t="str">
        <f t="shared" si="8"/>
        <v>Improved</v>
      </c>
    </row>
    <row r="239" spans="1:6" x14ac:dyDescent="0.35">
      <c r="A239" s="9" t="s">
        <v>669</v>
      </c>
      <c r="B239" t="str">
        <f>_xlfn.XLOOKUP(A239,'Cleaned Data'!$A$2:$A$721,'Cleaned Data'!$B$2:$B$721)</f>
        <v>Chidi Kalu</v>
      </c>
      <c r="C239" s="4">
        <f>AVERAGEIFS('Cleaned Data'!$M$2:$M$721,'Cleaned Data'!$A$2:$A$721,A239,'Cleaned Data'!$E$2:$E$721,"First Term")</f>
        <v>56.833333333333336</v>
      </c>
      <c r="D239" s="4">
        <f>AVERAGEIFS('Cleaned Data'!$M$2:$M$721,'Cleaned Data'!$A$2:$A$721,A239,'Cleaned Data'!$E$2:$E$721,"Third Term")</f>
        <v>64.666666666666671</v>
      </c>
      <c r="E239" s="4">
        <f t="shared" si="7"/>
        <v>7.8333333333333357</v>
      </c>
      <c r="F239" t="str">
        <f t="shared" si="8"/>
        <v>Improved</v>
      </c>
    </row>
    <row r="240" spans="1:6" x14ac:dyDescent="0.35">
      <c r="A240" s="8" t="s">
        <v>673</v>
      </c>
      <c r="B240" t="str">
        <f>_xlfn.XLOOKUP(A240,'Cleaned Data'!$A$2:$A$721,'Cleaned Data'!$B$2:$B$721)</f>
        <v>Victoria Nnadi</v>
      </c>
      <c r="C240" s="4">
        <f>AVERAGEIFS('Cleaned Data'!$M$2:$M$721,'Cleaned Data'!$A$2:$A$721,A240,'Cleaned Data'!$E$2:$E$721,"First Term")</f>
        <v>38.166666666666664</v>
      </c>
      <c r="D240" s="4">
        <f>AVERAGEIFS('Cleaned Data'!$M$2:$M$721,'Cleaned Data'!$A$2:$A$721,A240,'Cleaned Data'!$E$2:$E$721,"Third Term")</f>
        <v>28</v>
      </c>
      <c r="E240" s="4">
        <f t="shared" si="7"/>
        <v>-10.166666666666664</v>
      </c>
      <c r="F240" t="str">
        <f t="shared" si="8"/>
        <v>Dropped</v>
      </c>
    </row>
    <row r="241" spans="1:6" x14ac:dyDescent="0.35">
      <c r="A241" s="9" t="s">
        <v>676</v>
      </c>
      <c r="B241" t="str">
        <f>_xlfn.XLOOKUP(A241,'Cleaned Data'!$A$2:$A$721,'Cleaned Data'!$B$2:$B$721)</f>
        <v>Precious Suleiman</v>
      </c>
      <c r="C241" s="4">
        <f>AVERAGEIFS('Cleaned Data'!$M$2:$M$721,'Cleaned Data'!$A$2:$A$721,A241,'Cleaned Data'!$E$2:$E$721,"First Term")</f>
        <v>62.166666666666664</v>
      </c>
      <c r="D241" s="4">
        <f>AVERAGEIFS('Cleaned Data'!$M$2:$M$721,'Cleaned Data'!$A$2:$A$721,A241,'Cleaned Data'!$E$2:$E$721,"Third Term")</f>
        <v>67.833333333333329</v>
      </c>
      <c r="E241" s="4">
        <f t="shared" si="7"/>
        <v>5.6666666666666643</v>
      </c>
      <c r="F241" t="str">
        <f t="shared" si="8"/>
        <v>Improved</v>
      </c>
    </row>
  </sheetData>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54469-AC61-4A1B-A558-97AED286CAF2}">
  <dimension ref="A1:C33"/>
  <sheetViews>
    <sheetView workbookViewId="0">
      <selection activeCell="G34" sqref="G34"/>
    </sheetView>
  </sheetViews>
  <sheetFormatPr defaultRowHeight="14.5" x14ac:dyDescent="0.35"/>
  <cols>
    <col min="1" max="1" width="13.453125" customWidth="1"/>
    <col min="2" max="2" width="16.1796875" customWidth="1"/>
    <col min="3" max="3" width="21.54296875" customWidth="1"/>
  </cols>
  <sheetData>
    <row r="1" spans="1:3" x14ac:dyDescent="0.35">
      <c r="A1" t="s">
        <v>701</v>
      </c>
      <c r="B1" t="s">
        <v>700</v>
      </c>
      <c r="C1" t="s">
        <v>708</v>
      </c>
    </row>
    <row r="2" spans="1:3" x14ac:dyDescent="0.35">
      <c r="A2" s="17" t="s">
        <v>21</v>
      </c>
      <c r="B2" s="18" t="s">
        <v>26</v>
      </c>
      <c r="C2" s="11">
        <v>49</v>
      </c>
    </row>
    <row r="3" spans="1:3" x14ac:dyDescent="0.35">
      <c r="A3" s="19" t="s">
        <v>68</v>
      </c>
      <c r="B3" s="20" t="s">
        <v>69</v>
      </c>
      <c r="C3" s="12">
        <v>46.333333333333336</v>
      </c>
    </row>
    <row r="4" spans="1:3" x14ac:dyDescent="0.35">
      <c r="A4" s="17" t="s">
        <v>92</v>
      </c>
      <c r="B4" s="18" t="s">
        <v>93</v>
      </c>
      <c r="C4" s="11">
        <v>43.166666666666664</v>
      </c>
    </row>
    <row r="5" spans="1:3" x14ac:dyDescent="0.35">
      <c r="A5" s="19" t="s">
        <v>117</v>
      </c>
      <c r="B5" s="20" t="s">
        <v>118</v>
      </c>
      <c r="C5" s="12">
        <v>38.5</v>
      </c>
    </row>
    <row r="6" spans="1:3" x14ac:dyDescent="0.35">
      <c r="A6" s="17" t="s">
        <v>168</v>
      </c>
      <c r="B6" s="18" t="s">
        <v>169</v>
      </c>
      <c r="C6" s="11">
        <v>49.166666666666664</v>
      </c>
    </row>
    <row r="7" spans="1:3" x14ac:dyDescent="0.35">
      <c r="A7" s="19" t="s">
        <v>176</v>
      </c>
      <c r="B7" s="20" t="s">
        <v>177</v>
      </c>
      <c r="C7" s="12">
        <v>48</v>
      </c>
    </row>
    <row r="8" spans="1:3" x14ac:dyDescent="0.35">
      <c r="A8" s="17" t="s">
        <v>192</v>
      </c>
      <c r="B8" s="18" t="s">
        <v>194</v>
      </c>
      <c r="C8" s="11">
        <v>45</v>
      </c>
    </row>
    <row r="9" spans="1:3" x14ac:dyDescent="0.35">
      <c r="A9" s="19" t="s">
        <v>230</v>
      </c>
      <c r="B9" s="20" t="s">
        <v>232</v>
      </c>
      <c r="C9" s="12">
        <v>45.833333333333336</v>
      </c>
    </row>
    <row r="10" spans="1:3" x14ac:dyDescent="0.35">
      <c r="A10" s="17" t="s">
        <v>245</v>
      </c>
      <c r="B10" s="18" t="s">
        <v>248</v>
      </c>
      <c r="C10" s="11">
        <v>48.666666666666664</v>
      </c>
    </row>
    <row r="11" spans="1:3" x14ac:dyDescent="0.35">
      <c r="A11" s="19" t="s">
        <v>304</v>
      </c>
      <c r="B11" s="20" t="s">
        <v>305</v>
      </c>
      <c r="C11" s="12">
        <v>33.833333333333336</v>
      </c>
    </row>
    <row r="12" spans="1:3" x14ac:dyDescent="0.35">
      <c r="A12" s="17" t="s">
        <v>307</v>
      </c>
      <c r="B12" s="18" t="s">
        <v>308</v>
      </c>
      <c r="C12" s="11">
        <v>34.166666666666664</v>
      </c>
    </row>
    <row r="13" spans="1:3" x14ac:dyDescent="0.35">
      <c r="A13" s="19" t="s">
        <v>312</v>
      </c>
      <c r="B13" s="20" t="s">
        <v>314</v>
      </c>
      <c r="C13" s="12">
        <v>49</v>
      </c>
    </row>
    <row r="14" spans="1:3" x14ac:dyDescent="0.35">
      <c r="A14" s="17" t="s">
        <v>345</v>
      </c>
      <c r="B14" s="18" t="s">
        <v>346</v>
      </c>
      <c r="C14" s="11">
        <v>43.166666666666664</v>
      </c>
    </row>
    <row r="15" spans="1:3" x14ac:dyDescent="0.35">
      <c r="A15" s="19" t="s">
        <v>347</v>
      </c>
      <c r="B15" s="20" t="s">
        <v>348</v>
      </c>
      <c r="C15" s="12">
        <v>47.166666666666664</v>
      </c>
    </row>
    <row r="16" spans="1:3" x14ac:dyDescent="0.35">
      <c r="A16" s="17" t="s">
        <v>367</v>
      </c>
      <c r="B16" s="18" t="s">
        <v>368</v>
      </c>
      <c r="C16" s="11">
        <v>45.166666666666664</v>
      </c>
    </row>
    <row r="17" spans="1:3" x14ac:dyDescent="0.35">
      <c r="A17" s="19" t="s">
        <v>377</v>
      </c>
      <c r="B17" s="20" t="s">
        <v>378</v>
      </c>
      <c r="C17" s="12">
        <v>47.833333333333336</v>
      </c>
    </row>
    <row r="18" spans="1:3" x14ac:dyDescent="0.35">
      <c r="A18" s="17" t="s">
        <v>399</v>
      </c>
      <c r="B18" s="18" t="s">
        <v>400</v>
      </c>
      <c r="C18" s="11">
        <v>46</v>
      </c>
    </row>
    <row r="19" spans="1:3" x14ac:dyDescent="0.35">
      <c r="A19" s="19" t="s">
        <v>415</v>
      </c>
      <c r="B19" s="20" t="s">
        <v>416</v>
      </c>
      <c r="C19" s="12">
        <v>45.5</v>
      </c>
    </row>
    <row r="20" spans="1:3" x14ac:dyDescent="0.35">
      <c r="A20" s="17" t="s">
        <v>433</v>
      </c>
      <c r="B20" s="18" t="s">
        <v>434</v>
      </c>
      <c r="C20" s="11">
        <v>47.833333333333336</v>
      </c>
    </row>
    <row r="21" spans="1:3" x14ac:dyDescent="0.35">
      <c r="A21" s="19" t="s">
        <v>455</v>
      </c>
      <c r="B21" s="20" t="s">
        <v>456</v>
      </c>
      <c r="C21" s="12">
        <v>48</v>
      </c>
    </row>
    <row r="22" spans="1:3" x14ac:dyDescent="0.35">
      <c r="A22" s="17" t="s">
        <v>476</v>
      </c>
      <c r="B22" s="18" t="s">
        <v>478</v>
      </c>
      <c r="C22" s="11">
        <v>49.666666666666664</v>
      </c>
    </row>
    <row r="23" spans="1:3" x14ac:dyDescent="0.35">
      <c r="A23" s="19" t="s">
        <v>482</v>
      </c>
      <c r="B23" s="20" t="s">
        <v>483</v>
      </c>
      <c r="C23" s="12">
        <v>24.5</v>
      </c>
    </row>
    <row r="24" spans="1:3" x14ac:dyDescent="0.35">
      <c r="A24" s="17" t="s">
        <v>485</v>
      </c>
      <c r="B24" s="18" t="s">
        <v>486</v>
      </c>
      <c r="C24" s="11">
        <v>19.166666666666668</v>
      </c>
    </row>
    <row r="25" spans="1:3" x14ac:dyDescent="0.35">
      <c r="A25" s="19" t="s">
        <v>513</v>
      </c>
      <c r="B25" s="20" t="s">
        <v>514</v>
      </c>
      <c r="C25" s="12">
        <v>44.833333333333336</v>
      </c>
    </row>
    <row r="26" spans="1:3" x14ac:dyDescent="0.35">
      <c r="A26" s="17" t="s">
        <v>535</v>
      </c>
      <c r="B26" s="18" t="s">
        <v>537</v>
      </c>
      <c r="C26" s="11">
        <v>48.5</v>
      </c>
    </row>
    <row r="27" spans="1:3" x14ac:dyDescent="0.35">
      <c r="A27" s="19" t="s">
        <v>541</v>
      </c>
      <c r="B27" s="20" t="s">
        <v>542</v>
      </c>
      <c r="C27" s="12">
        <v>45.333333333333336</v>
      </c>
    </row>
    <row r="28" spans="1:3" x14ac:dyDescent="0.35">
      <c r="A28" s="17" t="s">
        <v>550</v>
      </c>
      <c r="B28" s="18" t="s">
        <v>551</v>
      </c>
      <c r="C28" s="11">
        <v>49.833333333333336</v>
      </c>
    </row>
    <row r="29" spans="1:3" x14ac:dyDescent="0.35">
      <c r="A29" s="19" t="s">
        <v>561</v>
      </c>
      <c r="B29" s="20" t="s">
        <v>562</v>
      </c>
      <c r="C29" s="12">
        <v>47.5</v>
      </c>
    </row>
    <row r="30" spans="1:3" x14ac:dyDescent="0.35">
      <c r="A30" s="17" t="s">
        <v>566</v>
      </c>
      <c r="B30" s="18" t="s">
        <v>567</v>
      </c>
      <c r="C30" s="11">
        <v>49.166666666666664</v>
      </c>
    </row>
    <row r="31" spans="1:3" x14ac:dyDescent="0.35">
      <c r="A31" s="19" t="s">
        <v>575</v>
      </c>
      <c r="B31" s="20" t="s">
        <v>578</v>
      </c>
      <c r="C31" s="12">
        <v>38.166666666666664</v>
      </c>
    </row>
    <row r="32" spans="1:3" x14ac:dyDescent="0.35">
      <c r="A32" s="17" t="s">
        <v>588</v>
      </c>
      <c r="B32" s="18" t="s">
        <v>589</v>
      </c>
      <c r="C32" s="11">
        <v>27.833333333333332</v>
      </c>
    </row>
    <row r="33" spans="1:3" x14ac:dyDescent="0.35">
      <c r="A33" s="21" t="s">
        <v>673</v>
      </c>
      <c r="B33" s="22" t="s">
        <v>674</v>
      </c>
      <c r="C33" s="24">
        <v>28</v>
      </c>
    </row>
  </sheetData>
  <conditionalFormatting sqref="C2:C33">
    <cfRule type="cellIs" dxfId="0" priority="1" operator="lessThan">
      <formula>50</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23A9C-1710-404A-9BCB-3C1C7839B175}">
  <dimension ref="A1:P54"/>
  <sheetViews>
    <sheetView showGridLines="0" showRowColHeaders="0" zoomScale="46" zoomScaleNormal="105" workbookViewId="0">
      <selection activeCell="W36" sqref="W36"/>
    </sheetView>
  </sheetViews>
  <sheetFormatPr defaultRowHeight="14.5" x14ac:dyDescent="0.35"/>
  <sheetData>
    <row r="1" spans="1:16" x14ac:dyDescent="0.35">
      <c r="A1" s="27"/>
      <c r="B1" s="27"/>
      <c r="C1" s="27"/>
      <c r="D1" s="27"/>
      <c r="E1" s="27"/>
      <c r="F1" s="27"/>
      <c r="G1" s="27"/>
      <c r="H1" s="27"/>
      <c r="I1" s="27"/>
      <c r="J1" s="27"/>
      <c r="K1" s="27"/>
      <c r="L1" s="27"/>
      <c r="M1" s="27"/>
      <c r="N1" s="27"/>
      <c r="O1" s="27"/>
      <c r="P1" s="27"/>
    </row>
    <row r="2" spans="1:16" x14ac:dyDescent="0.35">
      <c r="A2" s="28"/>
      <c r="B2" s="27"/>
      <c r="C2" s="27"/>
      <c r="D2" s="27"/>
      <c r="E2" s="27"/>
      <c r="F2" s="27"/>
      <c r="G2" s="27"/>
      <c r="H2" s="27"/>
      <c r="I2" s="27"/>
      <c r="J2" s="27"/>
      <c r="K2" s="28"/>
      <c r="L2" s="27"/>
      <c r="M2" s="27"/>
      <c r="N2" s="27"/>
      <c r="O2" s="27"/>
      <c r="P2" s="27"/>
    </row>
    <row r="3" spans="1:16" x14ac:dyDescent="0.35">
      <c r="A3" s="27"/>
      <c r="B3" s="27"/>
      <c r="C3" s="27"/>
      <c r="D3" s="27"/>
      <c r="E3" s="27"/>
      <c r="F3" s="27"/>
      <c r="G3" s="27"/>
      <c r="H3" s="27"/>
      <c r="I3" s="27"/>
      <c r="J3" s="27"/>
      <c r="K3" s="27"/>
      <c r="L3" s="27"/>
      <c r="M3" s="27"/>
      <c r="N3" s="27"/>
      <c r="O3" s="27"/>
      <c r="P3" s="27"/>
    </row>
    <row r="4" spans="1:16" x14ac:dyDescent="0.35">
      <c r="A4" s="27"/>
      <c r="B4" s="27"/>
      <c r="C4" s="27"/>
      <c r="D4" s="27"/>
      <c r="E4" s="27"/>
      <c r="F4" s="27"/>
      <c r="G4" s="27"/>
      <c r="H4" s="27"/>
      <c r="I4" s="27"/>
      <c r="J4" s="27"/>
      <c r="K4" s="27"/>
      <c r="L4" s="27"/>
      <c r="M4" s="27"/>
      <c r="N4" s="27"/>
      <c r="O4" s="27"/>
      <c r="P4" s="27"/>
    </row>
    <row r="5" spans="1:16" x14ac:dyDescent="0.35">
      <c r="A5" s="27"/>
      <c r="B5" s="27"/>
      <c r="C5" s="27"/>
      <c r="D5" s="27"/>
      <c r="E5" s="27"/>
      <c r="F5" s="27"/>
      <c r="G5" s="27"/>
      <c r="H5" s="27"/>
      <c r="I5" s="27"/>
      <c r="J5" s="27"/>
      <c r="K5" s="27"/>
      <c r="L5" s="27"/>
      <c r="M5" s="27"/>
      <c r="N5" s="27"/>
      <c r="O5" s="27"/>
      <c r="P5" s="27"/>
    </row>
    <row r="6" spans="1:16" x14ac:dyDescent="0.35">
      <c r="A6" s="27"/>
      <c r="B6" s="27"/>
      <c r="C6" s="27"/>
      <c r="D6" s="27"/>
      <c r="E6" s="27"/>
      <c r="F6" s="27"/>
      <c r="G6" s="27"/>
      <c r="H6" s="27"/>
      <c r="I6" s="27"/>
      <c r="J6" s="27"/>
      <c r="K6" s="27"/>
      <c r="L6" s="27"/>
      <c r="M6" s="27"/>
      <c r="N6" s="27"/>
      <c r="O6" s="27"/>
      <c r="P6" s="27"/>
    </row>
    <row r="7" spans="1:16" x14ac:dyDescent="0.35">
      <c r="A7" s="27"/>
      <c r="B7" s="27"/>
      <c r="C7" s="27"/>
      <c r="D7" s="27"/>
      <c r="E7" s="27"/>
      <c r="F7" s="27"/>
      <c r="G7" s="27"/>
      <c r="H7" s="27"/>
      <c r="I7" s="27"/>
      <c r="J7" s="27"/>
      <c r="K7" s="27"/>
      <c r="L7" s="27"/>
      <c r="M7" s="27"/>
      <c r="N7" s="27"/>
      <c r="O7" s="27"/>
      <c r="P7" s="27"/>
    </row>
    <row r="8" spans="1:16" x14ac:dyDescent="0.35">
      <c r="A8" s="28"/>
      <c r="B8" s="27"/>
      <c r="C8" s="27"/>
      <c r="D8" s="27"/>
      <c r="E8" s="27"/>
      <c r="F8" s="27"/>
      <c r="G8" s="27"/>
      <c r="H8" s="27"/>
      <c r="I8" s="27"/>
      <c r="J8" s="27"/>
      <c r="K8" s="28"/>
      <c r="L8" s="27"/>
      <c r="M8" s="27"/>
      <c r="N8" s="27"/>
      <c r="O8" s="27"/>
      <c r="P8" s="27"/>
    </row>
    <row r="9" spans="1:16" x14ac:dyDescent="0.35">
      <c r="A9" s="27"/>
      <c r="B9" s="27"/>
      <c r="C9" s="27"/>
      <c r="D9" s="27"/>
      <c r="E9" s="27"/>
      <c r="F9" s="27"/>
      <c r="G9" s="27"/>
      <c r="H9" s="27"/>
      <c r="I9" s="27"/>
      <c r="J9" s="27"/>
      <c r="K9" s="27"/>
      <c r="L9" s="27"/>
      <c r="M9" s="27"/>
      <c r="N9" s="27"/>
      <c r="O9" s="27"/>
      <c r="P9" s="27"/>
    </row>
    <row r="10" spans="1:16" x14ac:dyDescent="0.35">
      <c r="A10" s="27"/>
      <c r="B10" s="27"/>
      <c r="C10" s="27"/>
      <c r="D10" s="27"/>
      <c r="E10" s="27"/>
      <c r="F10" s="27"/>
      <c r="G10" s="27"/>
      <c r="H10" s="27"/>
      <c r="I10" s="27"/>
      <c r="J10" s="27"/>
      <c r="K10" s="27"/>
      <c r="L10" s="27"/>
      <c r="M10" s="27"/>
      <c r="N10" s="27"/>
      <c r="O10" s="27"/>
      <c r="P10" s="27"/>
    </row>
    <row r="11" spans="1:16" x14ac:dyDescent="0.35">
      <c r="A11" s="27"/>
      <c r="B11" s="27"/>
      <c r="C11" s="27"/>
      <c r="D11" s="27"/>
      <c r="E11" s="27"/>
      <c r="F11" s="27"/>
      <c r="G11" s="27"/>
      <c r="H11" s="27"/>
      <c r="I11" s="27"/>
      <c r="J11" s="27"/>
      <c r="K11" s="27"/>
      <c r="L11" s="27"/>
      <c r="M11" s="27"/>
      <c r="N11" s="27"/>
      <c r="O11" s="27"/>
      <c r="P11" s="27"/>
    </row>
    <row r="12" spans="1:16" x14ac:dyDescent="0.35">
      <c r="A12" s="27"/>
      <c r="B12" s="27"/>
      <c r="C12" s="27"/>
      <c r="D12" s="27"/>
      <c r="E12" s="27"/>
      <c r="F12" s="27"/>
      <c r="G12" s="27"/>
      <c r="H12" s="27"/>
      <c r="I12" s="27"/>
      <c r="J12" s="27"/>
      <c r="K12" s="27"/>
      <c r="L12" s="27"/>
      <c r="M12" s="27"/>
      <c r="N12" s="27"/>
      <c r="O12" s="27"/>
      <c r="P12" s="27"/>
    </row>
    <row r="13" spans="1:16" x14ac:dyDescent="0.35">
      <c r="A13" s="27"/>
      <c r="B13" s="27"/>
      <c r="C13" s="27"/>
      <c r="D13" s="27"/>
      <c r="E13" s="27"/>
      <c r="F13" s="27"/>
      <c r="G13" s="27"/>
      <c r="H13" s="27"/>
      <c r="I13" s="27"/>
      <c r="J13" s="27"/>
      <c r="K13" s="27"/>
      <c r="L13" s="27"/>
      <c r="M13" s="27"/>
      <c r="N13" s="27"/>
      <c r="O13" s="27"/>
      <c r="P13" s="27"/>
    </row>
    <row r="14" spans="1:16" x14ac:dyDescent="0.35">
      <c r="A14" s="28"/>
      <c r="B14" s="27"/>
      <c r="C14" s="27"/>
      <c r="D14" s="27"/>
      <c r="E14" s="27"/>
      <c r="F14" s="27"/>
      <c r="G14" s="27"/>
      <c r="H14" s="27"/>
      <c r="I14" s="27"/>
      <c r="J14" s="27"/>
      <c r="K14" s="28"/>
      <c r="L14" s="27"/>
      <c r="M14" s="27"/>
      <c r="N14" s="27"/>
      <c r="O14" s="27"/>
      <c r="P14" s="27"/>
    </row>
    <row r="15" spans="1:16" x14ac:dyDescent="0.35">
      <c r="A15" s="27"/>
      <c r="B15" s="27"/>
      <c r="C15" s="27"/>
      <c r="D15" s="27"/>
      <c r="E15" s="27"/>
      <c r="F15" s="27"/>
      <c r="G15" s="27"/>
      <c r="H15" s="27"/>
      <c r="I15" s="27"/>
      <c r="J15" s="27"/>
      <c r="K15" s="27"/>
      <c r="L15" s="27"/>
      <c r="M15" s="27"/>
      <c r="N15" s="27"/>
      <c r="O15" s="27"/>
      <c r="P15" s="27"/>
    </row>
    <row r="16" spans="1:16" x14ac:dyDescent="0.35">
      <c r="A16" s="27"/>
      <c r="B16" s="27"/>
      <c r="C16" s="27"/>
      <c r="D16" s="27"/>
      <c r="E16" s="27"/>
      <c r="F16" s="27"/>
      <c r="G16" s="27"/>
      <c r="H16" s="27"/>
      <c r="I16" s="27"/>
      <c r="J16" s="27"/>
      <c r="K16" s="27"/>
      <c r="L16" s="27"/>
      <c r="M16" s="27"/>
      <c r="N16" s="27"/>
      <c r="O16" s="27"/>
      <c r="P16" s="27"/>
    </row>
    <row r="17" spans="1:16" x14ac:dyDescent="0.35">
      <c r="A17" s="27"/>
      <c r="B17" s="27"/>
      <c r="C17" s="27"/>
      <c r="D17" s="27"/>
      <c r="E17" s="27"/>
      <c r="F17" s="27"/>
      <c r="G17" s="27"/>
      <c r="H17" s="27"/>
      <c r="I17" s="27"/>
      <c r="J17" s="27"/>
      <c r="K17" s="27"/>
      <c r="L17" s="27"/>
      <c r="M17" s="27"/>
      <c r="N17" s="27"/>
      <c r="O17" s="27"/>
      <c r="P17" s="27"/>
    </row>
    <row r="18" spans="1:16" x14ac:dyDescent="0.35">
      <c r="A18" s="27"/>
      <c r="B18" s="27"/>
      <c r="C18" s="27"/>
      <c r="D18" s="27"/>
      <c r="E18" s="27"/>
      <c r="F18" s="27"/>
      <c r="G18" s="27"/>
      <c r="H18" s="27"/>
      <c r="I18" s="27"/>
      <c r="J18" s="27"/>
      <c r="K18" s="27"/>
      <c r="L18" s="27"/>
      <c r="M18" s="27"/>
      <c r="N18" s="27"/>
      <c r="O18" s="27"/>
      <c r="P18" s="27"/>
    </row>
    <row r="19" spans="1:16" x14ac:dyDescent="0.35">
      <c r="A19" s="27"/>
      <c r="B19" s="27"/>
      <c r="C19" s="27"/>
      <c r="D19" s="27"/>
      <c r="E19" s="27"/>
      <c r="F19" s="27"/>
      <c r="G19" s="27"/>
      <c r="H19" s="27"/>
      <c r="I19" s="27"/>
      <c r="J19" s="27"/>
      <c r="K19" s="27"/>
      <c r="L19" s="27"/>
      <c r="M19" s="27"/>
      <c r="N19" s="27"/>
      <c r="O19" s="27"/>
      <c r="P19" s="27"/>
    </row>
    <row r="20" spans="1:16" x14ac:dyDescent="0.35">
      <c r="A20" s="27"/>
      <c r="B20" s="27"/>
      <c r="C20" s="27"/>
      <c r="D20" s="27"/>
      <c r="E20" s="27"/>
      <c r="F20" s="27"/>
      <c r="G20" s="27"/>
      <c r="H20" s="27"/>
      <c r="I20" s="27"/>
      <c r="J20" s="27"/>
      <c r="K20" s="27"/>
      <c r="L20" s="27"/>
      <c r="M20" s="27"/>
      <c r="N20" s="27"/>
      <c r="O20" s="27"/>
      <c r="P20" s="27"/>
    </row>
    <row r="21" spans="1:16" x14ac:dyDescent="0.35">
      <c r="A21" s="27"/>
      <c r="B21" s="27"/>
      <c r="C21" s="27"/>
      <c r="D21" s="27"/>
      <c r="E21" s="27"/>
      <c r="F21" s="27"/>
      <c r="G21" s="27"/>
      <c r="H21" s="27"/>
      <c r="I21" s="27"/>
      <c r="J21" s="27"/>
      <c r="K21" s="27"/>
      <c r="L21" s="27"/>
      <c r="M21" s="27"/>
      <c r="N21" s="27"/>
      <c r="O21" s="27"/>
      <c r="P21" s="27"/>
    </row>
    <row r="22" spans="1:16" x14ac:dyDescent="0.35">
      <c r="A22" s="27"/>
      <c r="B22" s="27"/>
      <c r="C22" s="27"/>
      <c r="D22" s="27"/>
      <c r="E22" s="27"/>
      <c r="F22" s="27"/>
      <c r="G22" s="27"/>
      <c r="H22" s="27"/>
      <c r="I22" s="27"/>
      <c r="J22" s="27"/>
      <c r="K22" s="27"/>
      <c r="L22" s="27"/>
      <c r="M22" s="27"/>
      <c r="N22" s="27"/>
      <c r="O22" s="27"/>
      <c r="P22" s="27"/>
    </row>
    <row r="23" spans="1:16" x14ac:dyDescent="0.35">
      <c r="A23" s="27"/>
      <c r="B23" s="27"/>
      <c r="C23" s="27"/>
      <c r="D23" s="27"/>
      <c r="E23" s="27"/>
      <c r="F23" s="27"/>
      <c r="G23" s="27"/>
      <c r="H23" s="27"/>
      <c r="I23" s="27"/>
      <c r="J23" s="27"/>
      <c r="K23" s="27"/>
      <c r="L23" s="27"/>
      <c r="M23" s="27"/>
      <c r="N23" s="27"/>
      <c r="O23" s="27"/>
      <c r="P23" s="27"/>
    </row>
    <row r="24" spans="1:16" x14ac:dyDescent="0.35">
      <c r="A24" s="27"/>
      <c r="B24" s="27"/>
      <c r="C24" s="27"/>
      <c r="D24" s="27"/>
      <c r="E24" s="27"/>
      <c r="F24" s="27"/>
      <c r="G24" s="27"/>
      <c r="H24" s="27"/>
      <c r="I24" s="27"/>
      <c r="J24" s="27"/>
      <c r="K24" s="27"/>
      <c r="L24" s="27"/>
      <c r="M24" s="27"/>
      <c r="N24" s="27"/>
      <c r="O24" s="27"/>
      <c r="P24" s="27"/>
    </row>
    <row r="25" spans="1:16" x14ac:dyDescent="0.35">
      <c r="A25" s="27"/>
      <c r="B25" s="27"/>
      <c r="C25" s="27"/>
      <c r="D25" s="27"/>
      <c r="E25" s="27"/>
      <c r="F25" s="27"/>
      <c r="G25" s="27"/>
      <c r="H25" s="27"/>
      <c r="I25" s="27"/>
      <c r="J25" s="27"/>
      <c r="K25" s="27"/>
      <c r="L25" s="27"/>
      <c r="M25" s="27"/>
      <c r="N25" s="27"/>
      <c r="O25" s="27"/>
      <c r="P25" s="27"/>
    </row>
    <row r="26" spans="1:16" x14ac:dyDescent="0.35">
      <c r="A26" s="27"/>
      <c r="B26" s="27"/>
      <c r="C26" s="27"/>
      <c r="D26" s="27"/>
      <c r="E26" s="27"/>
      <c r="F26" s="27"/>
      <c r="G26" s="27"/>
      <c r="H26" s="27"/>
      <c r="I26" s="27"/>
      <c r="J26" s="27"/>
      <c r="K26" s="27"/>
      <c r="L26" s="27"/>
      <c r="M26" s="27"/>
      <c r="N26" s="27"/>
      <c r="O26" s="27"/>
      <c r="P26" s="27"/>
    </row>
    <row r="27" spans="1:16" x14ac:dyDescent="0.35">
      <c r="A27" s="27"/>
      <c r="B27" s="27"/>
      <c r="C27" s="27"/>
      <c r="D27" s="27"/>
      <c r="E27" s="27"/>
      <c r="F27" s="27"/>
      <c r="G27" s="27"/>
      <c r="H27" s="27"/>
      <c r="I27" s="27"/>
      <c r="J27" s="27"/>
      <c r="K27" s="27"/>
      <c r="L27" s="27"/>
      <c r="M27" s="27"/>
      <c r="N27" s="27"/>
      <c r="O27" s="27"/>
      <c r="P27" s="27"/>
    </row>
    <row r="28" spans="1:16" x14ac:dyDescent="0.35">
      <c r="A28" s="27"/>
      <c r="B28" s="27"/>
      <c r="C28" s="27"/>
      <c r="D28" s="27"/>
      <c r="E28" s="27"/>
      <c r="F28" s="27"/>
      <c r="G28" s="27"/>
      <c r="H28" s="27"/>
      <c r="I28" s="27"/>
      <c r="J28" s="27"/>
      <c r="K28" s="27"/>
      <c r="L28" s="27"/>
      <c r="M28" s="27"/>
      <c r="N28" s="27"/>
      <c r="O28" s="27"/>
      <c r="P28" s="27"/>
    </row>
    <row r="29" spans="1:16" x14ac:dyDescent="0.35">
      <c r="A29" s="27"/>
      <c r="B29" s="27"/>
      <c r="C29" s="27"/>
      <c r="D29" s="27"/>
      <c r="E29" s="27"/>
      <c r="F29" s="27"/>
      <c r="G29" s="27"/>
      <c r="H29" s="27"/>
      <c r="I29" s="27"/>
      <c r="J29" s="27"/>
      <c r="K29" s="27"/>
      <c r="L29" s="27"/>
      <c r="M29" s="27"/>
      <c r="N29" s="27"/>
      <c r="O29" s="27"/>
      <c r="P29" s="27"/>
    </row>
    <row r="30" spans="1:16" x14ac:dyDescent="0.35">
      <c r="A30" s="27"/>
      <c r="B30" s="27"/>
      <c r="C30" s="27"/>
      <c r="D30" s="27"/>
      <c r="E30" s="27"/>
      <c r="F30" s="27"/>
      <c r="G30" s="27"/>
      <c r="H30" s="27"/>
      <c r="I30" s="27"/>
      <c r="J30" s="27"/>
      <c r="K30" s="27"/>
      <c r="L30" s="27"/>
      <c r="M30" s="27"/>
      <c r="N30" s="27"/>
      <c r="O30" s="27"/>
      <c r="P30" s="27"/>
    </row>
    <row r="31" spans="1:16" x14ac:dyDescent="0.35">
      <c r="A31" s="27"/>
      <c r="B31" s="27"/>
      <c r="C31" s="27"/>
      <c r="D31" s="27"/>
      <c r="E31" s="27"/>
      <c r="F31" s="27"/>
      <c r="G31" s="27"/>
      <c r="H31" s="27"/>
      <c r="I31" s="27"/>
      <c r="J31" s="27"/>
      <c r="K31" s="27"/>
      <c r="L31" s="27"/>
      <c r="M31" s="27"/>
      <c r="N31" s="27"/>
      <c r="O31" s="27"/>
      <c r="P31" s="27"/>
    </row>
    <row r="32" spans="1:16" x14ac:dyDescent="0.35">
      <c r="A32" s="27"/>
      <c r="B32" s="27"/>
      <c r="C32" s="27"/>
      <c r="D32" s="27"/>
      <c r="E32" s="27"/>
      <c r="F32" s="27"/>
      <c r="G32" s="27"/>
      <c r="H32" s="27"/>
      <c r="I32" s="27"/>
      <c r="J32" s="27"/>
      <c r="K32" s="27"/>
      <c r="L32" s="27"/>
      <c r="M32" s="27"/>
      <c r="N32" s="27"/>
      <c r="O32" s="27"/>
      <c r="P32" s="27"/>
    </row>
    <row r="33" spans="1:16" x14ac:dyDescent="0.35">
      <c r="A33" s="27"/>
      <c r="B33" s="27"/>
      <c r="C33" s="27"/>
      <c r="D33" s="27"/>
      <c r="E33" s="27"/>
      <c r="F33" s="27"/>
      <c r="G33" s="27"/>
      <c r="H33" s="27"/>
      <c r="I33" s="27"/>
      <c r="J33" s="27"/>
      <c r="K33" s="27"/>
      <c r="L33" s="27"/>
      <c r="M33" s="27"/>
      <c r="N33" s="27"/>
      <c r="O33" s="27"/>
      <c r="P33" s="27"/>
    </row>
    <row r="34" spans="1:16" x14ac:dyDescent="0.35">
      <c r="A34" s="27"/>
      <c r="B34" s="27"/>
      <c r="C34" s="27"/>
      <c r="D34" s="27"/>
      <c r="E34" s="27"/>
      <c r="F34" s="27"/>
      <c r="G34" s="27"/>
      <c r="H34" s="27"/>
      <c r="I34" s="27"/>
      <c r="J34" s="27"/>
      <c r="K34" s="27"/>
      <c r="L34" s="27"/>
      <c r="M34" s="27"/>
      <c r="N34" s="27"/>
      <c r="O34" s="27"/>
      <c r="P34" s="27"/>
    </row>
    <row r="35" spans="1:16" x14ac:dyDescent="0.35">
      <c r="A35" s="27"/>
      <c r="B35" s="27"/>
      <c r="C35" s="27"/>
      <c r="D35" s="27"/>
      <c r="E35" s="27"/>
      <c r="F35" s="27"/>
      <c r="G35" s="27"/>
      <c r="H35" s="27"/>
      <c r="I35" s="27"/>
      <c r="J35" s="27"/>
      <c r="K35" s="27"/>
      <c r="L35" s="27"/>
      <c r="M35" s="27"/>
      <c r="N35" s="27"/>
      <c r="O35" s="27"/>
      <c r="P35" s="27"/>
    </row>
    <row r="36" spans="1:16" x14ac:dyDescent="0.35">
      <c r="A36" s="27"/>
      <c r="B36" s="27"/>
      <c r="C36" s="27"/>
      <c r="D36" s="27"/>
      <c r="E36" s="27"/>
      <c r="F36" s="27"/>
      <c r="G36" s="27"/>
      <c r="H36" s="27"/>
      <c r="I36" s="27"/>
      <c r="J36" s="27"/>
      <c r="K36" s="27"/>
      <c r="L36" s="27"/>
      <c r="M36" s="27"/>
      <c r="N36" s="27"/>
      <c r="O36" s="27"/>
      <c r="P36" s="27"/>
    </row>
    <row r="37" spans="1:16" x14ac:dyDescent="0.35">
      <c r="A37" s="27"/>
      <c r="B37" s="27"/>
      <c r="C37" s="27"/>
      <c r="D37" s="27"/>
      <c r="E37" s="27"/>
      <c r="F37" s="27"/>
      <c r="G37" s="27"/>
      <c r="H37" s="27"/>
      <c r="I37" s="27"/>
      <c r="J37" s="27"/>
      <c r="K37" s="27"/>
      <c r="L37" s="27"/>
      <c r="M37" s="27"/>
      <c r="N37" s="27"/>
      <c r="O37" s="27"/>
      <c r="P37" s="27"/>
    </row>
    <row r="38" spans="1:16" x14ac:dyDescent="0.35">
      <c r="A38" s="27"/>
      <c r="B38" s="27"/>
      <c r="C38" s="27"/>
      <c r="D38" s="27"/>
      <c r="E38" s="27"/>
      <c r="F38" s="27"/>
      <c r="G38" s="27"/>
      <c r="H38" s="27"/>
      <c r="I38" s="27"/>
      <c r="J38" s="27"/>
      <c r="K38" s="27"/>
      <c r="L38" s="27"/>
      <c r="M38" s="27"/>
      <c r="N38" s="27"/>
      <c r="O38" s="27"/>
      <c r="P38" s="27"/>
    </row>
    <row r="39" spans="1:16" x14ac:dyDescent="0.35">
      <c r="A39" s="27"/>
      <c r="B39" s="27"/>
      <c r="C39" s="27"/>
      <c r="D39" s="27"/>
      <c r="E39" s="27"/>
      <c r="F39" s="27"/>
      <c r="G39" s="27"/>
      <c r="H39" s="27"/>
      <c r="I39" s="27"/>
      <c r="J39" s="27"/>
      <c r="K39" s="27"/>
      <c r="L39" s="27"/>
      <c r="M39" s="27"/>
      <c r="N39" s="27"/>
      <c r="O39" s="27"/>
      <c r="P39" s="27"/>
    </row>
    <row r="40" spans="1:16" x14ac:dyDescent="0.35">
      <c r="A40" s="27"/>
      <c r="B40" s="27"/>
      <c r="C40" s="27"/>
      <c r="D40" s="27"/>
      <c r="E40" s="27"/>
      <c r="F40" s="27"/>
      <c r="G40" s="27"/>
      <c r="H40" s="27"/>
      <c r="I40" s="27"/>
      <c r="J40" s="27"/>
      <c r="K40" s="27"/>
      <c r="L40" s="27"/>
      <c r="M40" s="27"/>
      <c r="N40" s="27"/>
      <c r="O40" s="27"/>
      <c r="P40" s="27"/>
    </row>
    <row r="41" spans="1:16" x14ac:dyDescent="0.35">
      <c r="A41" s="27"/>
      <c r="B41" s="27"/>
      <c r="C41" s="27"/>
      <c r="D41" s="27"/>
      <c r="E41" s="27"/>
      <c r="F41" s="27"/>
      <c r="G41" s="27"/>
      <c r="H41" s="27"/>
      <c r="I41" s="27"/>
      <c r="J41" s="27"/>
      <c r="K41" s="27"/>
      <c r="L41" s="27"/>
      <c r="M41" s="27"/>
      <c r="N41" s="27"/>
      <c r="O41" s="27"/>
      <c r="P41" s="27"/>
    </row>
    <row r="42" spans="1:16" x14ac:dyDescent="0.35">
      <c r="A42" s="27"/>
      <c r="B42" s="27"/>
      <c r="C42" s="27"/>
      <c r="D42" s="27"/>
      <c r="E42" s="27"/>
      <c r="F42" s="27"/>
      <c r="G42" s="27"/>
      <c r="H42" s="27"/>
      <c r="I42" s="27"/>
      <c r="J42" s="27"/>
      <c r="K42" s="27"/>
      <c r="L42" s="27"/>
      <c r="M42" s="27"/>
      <c r="N42" s="27"/>
      <c r="O42" s="27"/>
      <c r="P42" s="27"/>
    </row>
    <row r="43" spans="1:16" x14ac:dyDescent="0.35">
      <c r="A43" s="27"/>
      <c r="B43" s="27"/>
      <c r="C43" s="27"/>
      <c r="D43" s="27"/>
      <c r="E43" s="27"/>
      <c r="F43" s="27"/>
      <c r="G43" s="27"/>
      <c r="H43" s="27"/>
      <c r="I43" s="27"/>
      <c r="J43" s="27"/>
      <c r="K43" s="27"/>
      <c r="L43" s="27"/>
      <c r="M43" s="27"/>
      <c r="N43" s="27"/>
      <c r="O43" s="27"/>
      <c r="P43" s="27"/>
    </row>
    <row r="44" spans="1:16" x14ac:dyDescent="0.35">
      <c r="A44" s="27"/>
      <c r="B44" s="27"/>
      <c r="C44" s="27"/>
      <c r="D44" s="27"/>
      <c r="E44" s="27"/>
      <c r="F44" s="27"/>
      <c r="G44" s="27"/>
      <c r="H44" s="27"/>
      <c r="I44" s="27"/>
      <c r="J44" s="27"/>
      <c r="K44" s="27"/>
      <c r="L44" s="27"/>
      <c r="M44" s="27"/>
      <c r="N44" s="27"/>
      <c r="O44" s="27"/>
      <c r="P44" s="27"/>
    </row>
    <row r="45" spans="1:16" x14ac:dyDescent="0.35">
      <c r="A45" s="27"/>
      <c r="B45" s="27"/>
      <c r="C45" s="27"/>
      <c r="D45" s="27"/>
      <c r="E45" s="27"/>
      <c r="F45" s="27"/>
      <c r="G45" s="27"/>
      <c r="H45" s="27"/>
      <c r="I45" s="27"/>
      <c r="J45" s="27"/>
      <c r="K45" s="27"/>
      <c r="L45" s="27"/>
      <c r="M45" s="27"/>
      <c r="N45" s="27"/>
      <c r="O45" s="27"/>
      <c r="P45" s="27"/>
    </row>
    <row r="46" spans="1:16" x14ac:dyDescent="0.35">
      <c r="A46" s="27"/>
      <c r="B46" s="27"/>
      <c r="C46" s="27"/>
      <c r="D46" s="27"/>
      <c r="E46" s="27"/>
      <c r="F46" s="27"/>
      <c r="G46" s="27"/>
      <c r="H46" s="27"/>
      <c r="I46" s="27"/>
      <c r="J46" s="27"/>
      <c r="K46" s="27"/>
      <c r="L46" s="27"/>
      <c r="M46" s="27"/>
      <c r="N46" s="27"/>
      <c r="O46" s="27"/>
      <c r="P46" s="27"/>
    </row>
    <row r="47" spans="1:16" x14ac:dyDescent="0.35">
      <c r="A47" s="27"/>
      <c r="B47" s="27"/>
      <c r="C47" s="27"/>
      <c r="D47" s="27"/>
      <c r="E47" s="27"/>
      <c r="F47" s="27"/>
      <c r="G47" s="27"/>
      <c r="H47" s="27"/>
      <c r="I47" s="27"/>
      <c r="J47" s="27"/>
      <c r="K47" s="27"/>
      <c r="L47" s="27"/>
      <c r="M47" s="27"/>
      <c r="N47" s="27"/>
      <c r="O47" s="27"/>
      <c r="P47" s="27"/>
    </row>
    <row r="48" spans="1:16" x14ac:dyDescent="0.35">
      <c r="A48" s="27"/>
      <c r="B48" s="27"/>
      <c r="C48" s="27"/>
      <c r="D48" s="27"/>
      <c r="E48" s="27"/>
      <c r="F48" s="27"/>
      <c r="G48" s="27"/>
      <c r="H48" s="27"/>
      <c r="I48" s="27"/>
      <c r="J48" s="27"/>
      <c r="K48" s="27"/>
      <c r="L48" s="27"/>
      <c r="M48" s="27"/>
      <c r="N48" s="27"/>
      <c r="O48" s="27"/>
      <c r="P48" s="27"/>
    </row>
    <row r="49" spans="1:16" x14ac:dyDescent="0.35">
      <c r="A49" s="27"/>
      <c r="B49" s="27"/>
      <c r="C49" s="27"/>
      <c r="D49" s="27"/>
      <c r="E49" s="27"/>
      <c r="F49" s="27"/>
      <c r="G49" s="27"/>
      <c r="H49" s="27"/>
      <c r="I49" s="27"/>
      <c r="J49" s="27"/>
      <c r="K49" s="27"/>
      <c r="L49" s="27"/>
      <c r="M49" s="27"/>
      <c r="N49" s="27"/>
      <c r="O49" s="27"/>
      <c r="P49" s="27"/>
    </row>
    <row r="50" spans="1:16" x14ac:dyDescent="0.35">
      <c r="A50" s="27"/>
      <c r="B50" s="27"/>
      <c r="C50" s="27"/>
      <c r="D50" s="27"/>
      <c r="E50" s="27"/>
      <c r="F50" s="27"/>
      <c r="G50" s="27"/>
      <c r="H50" s="27"/>
      <c r="I50" s="27"/>
      <c r="J50" s="27"/>
      <c r="K50" s="27"/>
      <c r="L50" s="27"/>
      <c r="M50" s="27"/>
      <c r="N50" s="27"/>
      <c r="O50" s="27"/>
      <c r="P50" s="27"/>
    </row>
    <row r="51" spans="1:16" x14ac:dyDescent="0.35">
      <c r="A51" s="27"/>
      <c r="B51" s="27"/>
      <c r="C51" s="27"/>
      <c r="D51" s="27"/>
      <c r="E51" s="27"/>
      <c r="F51" s="27"/>
      <c r="G51" s="27"/>
      <c r="H51" s="27"/>
      <c r="I51" s="27"/>
      <c r="J51" s="27"/>
      <c r="K51" s="27"/>
      <c r="L51" s="27"/>
      <c r="M51" s="27"/>
      <c r="N51" s="27"/>
      <c r="O51" s="27"/>
      <c r="P51" s="27"/>
    </row>
    <row r="52" spans="1:16" x14ac:dyDescent="0.35">
      <c r="A52" s="27"/>
      <c r="B52" s="27"/>
      <c r="C52" s="27"/>
      <c r="D52" s="27"/>
      <c r="E52" s="27"/>
      <c r="F52" s="27"/>
      <c r="G52" s="27"/>
      <c r="H52" s="27"/>
      <c r="I52" s="27"/>
      <c r="J52" s="27"/>
      <c r="K52" s="27"/>
      <c r="L52" s="27"/>
      <c r="M52" s="27"/>
      <c r="N52" s="27"/>
      <c r="O52" s="27"/>
      <c r="P52" s="27"/>
    </row>
    <row r="53" spans="1:16" x14ac:dyDescent="0.35">
      <c r="A53" s="27"/>
      <c r="B53" s="27"/>
      <c r="C53" s="27"/>
      <c r="D53" s="27"/>
      <c r="E53" s="27"/>
      <c r="F53" s="27"/>
      <c r="G53" s="27"/>
      <c r="H53" s="27"/>
      <c r="I53" s="27"/>
      <c r="J53" s="27"/>
      <c r="K53" s="27"/>
      <c r="L53" s="27"/>
      <c r="M53" s="27"/>
      <c r="N53" s="27"/>
      <c r="O53" s="27"/>
      <c r="P53" s="27"/>
    </row>
    <row r="54" spans="1:16" x14ac:dyDescent="0.35">
      <c r="A54" s="27"/>
      <c r="B54" s="27"/>
      <c r="C54" s="27"/>
      <c r="D54" s="27"/>
      <c r="E54" s="27"/>
      <c r="F54" s="27"/>
      <c r="G54" s="27"/>
      <c r="H54" s="27"/>
      <c r="I54" s="27"/>
      <c r="J54" s="27"/>
      <c r="K54" s="27"/>
      <c r="L54" s="27"/>
      <c r="M54" s="27"/>
      <c r="N54" s="27"/>
      <c r="O54" s="27"/>
      <c r="P54" s="2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Results</vt:lpstr>
      <vt:lpstr>Cleaned Data</vt:lpstr>
      <vt:lpstr>Class Summary </vt:lpstr>
      <vt:lpstr>Subjects</vt:lpstr>
      <vt:lpstr>Improvement</vt:lpstr>
      <vt:lpstr>Risk</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LIGHTS LOVE</cp:lastModifiedBy>
  <dcterms:created xsi:type="dcterms:W3CDTF">2026-10-26T08:04:08Z</dcterms:created>
  <dcterms:modified xsi:type="dcterms:W3CDTF">2026-10-30T02:33:04Z</dcterms:modified>
</cp:coreProperties>
</file>